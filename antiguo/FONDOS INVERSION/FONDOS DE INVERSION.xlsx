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" sheetId="1" r:id="rId5"/>
    <sheet state="visible" name="TOTAL INVERTIDO POR MES" sheetId="2" r:id="rId6"/>
    <sheet state="visible" name="Dinero total a final de me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Inversion -&gt; 
Todos mis fondos -&gt; ver detalle
Detalle fondo -&gt; pinchar sobre la orden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tc={ee874e2f-8b9e-422f-a1d4-bae67c53abdb}</author>
  </authors>
  <commentList>
    <comment authorId="0" xr:uid="{ee874e2f-8b9e-422f-a1d4-bae67c53abdb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renové la suscripcion
</t>
      </text>
    </comment>
  </commentList>
</comments>
</file>

<file path=xl/sharedStrings.xml><?xml version="1.0" encoding="utf-8"?>
<sst xmlns="http://schemas.openxmlformats.org/spreadsheetml/2006/main" count="56" uniqueCount="17">
  <si>
    <t>Codigo de inversion</t>
  </si>
  <si>
    <t>Fecha de orden</t>
  </si>
  <si>
    <t>Importe ordenado</t>
  </si>
  <si>
    <t>Participaciones</t>
  </si>
  <si>
    <t>Ejecutado</t>
  </si>
  <si>
    <t>Total invertido</t>
  </si>
  <si>
    <t>IE00BYX5MS15</t>
  </si>
  <si>
    <t>SI</t>
  </si>
  <si>
    <t>IE00BYX5NX33</t>
  </si>
  <si>
    <t>Aqui voy indicando las aportaciones que hago a la cuenta de inversion</t>
  </si>
  <si>
    <t>Es una indicacion estimada ya que depdende del valor del dolar frente al euro</t>
  </si>
  <si>
    <t>ROBO ADVISOR</t>
  </si>
  <si>
    <t>/</t>
  </si>
  <si>
    <t>AÑO</t>
  </si>
  <si>
    <t>MES</t>
  </si>
  <si>
    <t>CANTIDAD</t>
  </si>
  <si>
    <t>744,49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</si>
</sst>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$&quot;#,##0.00"/>
    <numFmt numFmtId="166" formatCode="0.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2" fontId="1" numFmtId="165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EGUIMI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TAL INVERTIDO POR M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nero total a final de m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varo Ortiz Pedroso" id="{2f0f8ddf-1707-42cd-8cb6-b31cff151f84}" providerId="google-sheets"/>
</x18tc:personList>
</file>

<file path=xl/tables/table1.xml><?xml version="1.0" encoding="utf-8"?>
<table xmlns="http://schemas.openxmlformats.org/spreadsheetml/2006/main" ref="A1:E21" displayName="Tabla_1" name="Tabla_1" id="1">
  <tableColumns count="5">
    <tableColumn name="Codigo de inversion" id="1"/>
    <tableColumn name="Fecha de orden" id="2"/>
    <tableColumn name="Importe ordenado" id="3"/>
    <tableColumn name="Participaciones" id="4"/>
    <tableColumn name="Ejecutado" id="5"/>
  </tableColumns>
  <tableStyleInfo name="SEGUIMIENTO-style" showColumnStripes="0" showFirstColumn="1" showLastColumn="1" showRowStripes="1"/>
</table>
</file>

<file path=xl/tables/table2.xml><?xml version="1.0" encoding="utf-8"?>
<table xmlns="http://schemas.openxmlformats.org/spreadsheetml/2006/main" ref="A1:C15" displayName="Tabla_2" name="Tabla_2" id="2">
  <tableColumns count="3">
    <tableColumn name="AÑO" id="1"/>
    <tableColumn name="MES" id="2"/>
    <tableColumn name="CANTIDAD" id="3"/>
  </tableColumns>
  <tableStyleInfo name="TOTAL INVERTIDO POR MES-style" showColumnStripes="0" showFirstColumn="1" showLastColumn="1" showRowStripes="1"/>
</table>
</file>

<file path=xl/tables/table3.xml><?xml version="1.0" encoding="utf-8"?>
<table xmlns="http://schemas.openxmlformats.org/spreadsheetml/2006/main" ref="A1:C15" displayName="Tabla_3" name="Tabla_3" id="3">
  <tableColumns count="3">
    <tableColumn name="AÑO" id="1"/>
    <tableColumn name="MES" id="2"/>
    <tableColumn name="CANTIDAD" id="3"/>
  </tableColumns>
  <tableStyleInfo name="Dinero total a final de m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4" dT="2026-01-31T11:54:29.00" personId="{2f0f8ddf-1707-42cd-8cb6-b31cff151f84}" id="{ee874e2f-8b9e-422f-a1d4-bae67c53abdb}" done="0">
    <x18tc:text xml:space="preserve">No renové la suscripcion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20.13"/>
    <col customWidth="1" min="3" max="3" width="22.0"/>
    <col customWidth="1" min="4" max="5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ht="22.5" customHeight="1">
      <c r="A2" s="3" t="s">
        <v>6</v>
      </c>
      <c r="B2" s="4">
        <v>45624.0</v>
      </c>
      <c r="C2" s="5">
        <v>47.54</v>
      </c>
      <c r="D2" s="6">
        <v>4.174</v>
      </c>
      <c r="E2" s="3" t="s">
        <v>7</v>
      </c>
      <c r="G2" s="7">
        <f>SUM(C:C)</f>
        <v>983.29</v>
      </c>
    </row>
    <row r="3" ht="22.5" customHeight="1">
      <c r="A3" s="3" t="s">
        <v>6</v>
      </c>
      <c r="B3" s="4">
        <v>45634.0</v>
      </c>
      <c r="C3" s="5">
        <v>49.8</v>
      </c>
      <c r="D3" s="6">
        <v>4.364</v>
      </c>
      <c r="E3" s="3" t="s">
        <v>7</v>
      </c>
    </row>
    <row r="4" ht="22.5" customHeight="1">
      <c r="A4" s="3" t="s">
        <v>8</v>
      </c>
      <c r="B4" s="4">
        <v>45641.0</v>
      </c>
      <c r="C4" s="5">
        <v>50.0</v>
      </c>
      <c r="D4" s="6">
        <v>4.244</v>
      </c>
      <c r="E4" s="3" t="s">
        <v>7</v>
      </c>
      <c r="L4" s="8" t="s">
        <v>9</v>
      </c>
    </row>
    <row r="5" ht="22.5" customHeight="1">
      <c r="A5" s="3" t="s">
        <v>6</v>
      </c>
      <c r="B5" s="4">
        <v>45647.0</v>
      </c>
      <c r="C5" s="5">
        <v>48.09</v>
      </c>
      <c r="D5" s="6">
        <v>4.212</v>
      </c>
      <c r="E5" s="3" t="s">
        <v>7</v>
      </c>
    </row>
    <row r="6" ht="22.5" customHeight="1">
      <c r="A6" s="3" t="s">
        <v>8</v>
      </c>
      <c r="B6" s="4">
        <v>45647.0</v>
      </c>
      <c r="C6" s="5">
        <v>25.0</v>
      </c>
      <c r="D6" s="6">
        <v>2.118</v>
      </c>
      <c r="E6" s="3" t="s">
        <v>7</v>
      </c>
    </row>
    <row r="7" ht="22.5" customHeight="1">
      <c r="A7" s="3" t="s">
        <v>6</v>
      </c>
      <c r="B7" s="4">
        <v>45678.0</v>
      </c>
      <c r="C7" s="5">
        <v>48.26</v>
      </c>
      <c r="D7" s="6">
        <v>4.157</v>
      </c>
      <c r="E7" s="3" t="s">
        <v>7</v>
      </c>
      <c r="L7" s="9" t="s">
        <v>10</v>
      </c>
    </row>
    <row r="8" ht="22.5" customHeight="1">
      <c r="A8" s="3" t="s">
        <v>11</v>
      </c>
      <c r="B8" s="4">
        <v>45681.0</v>
      </c>
      <c r="C8" s="10">
        <v>144.76</v>
      </c>
      <c r="D8" s="6"/>
      <c r="E8" s="3" t="s">
        <v>7</v>
      </c>
    </row>
    <row r="9" ht="22.5" customHeight="1">
      <c r="A9" s="11" t="s">
        <v>6</v>
      </c>
      <c r="B9" s="12">
        <v>45709.0</v>
      </c>
      <c r="C9" s="13">
        <v>47.75</v>
      </c>
      <c r="D9" s="14">
        <v>4.178</v>
      </c>
      <c r="E9" s="11" t="s">
        <v>7</v>
      </c>
    </row>
    <row r="10" ht="22.5" customHeight="1">
      <c r="A10" s="11" t="s">
        <v>6</v>
      </c>
      <c r="B10" s="12">
        <v>45737.0</v>
      </c>
      <c r="C10" s="13">
        <v>46.22</v>
      </c>
      <c r="D10" s="15"/>
      <c r="E10" s="11" t="s">
        <v>7</v>
      </c>
    </row>
    <row r="11" ht="22.5" customHeight="1">
      <c r="A11" s="11" t="s">
        <v>6</v>
      </c>
      <c r="B11" s="12">
        <v>45768.0</v>
      </c>
      <c r="C11" s="13">
        <v>44.11</v>
      </c>
      <c r="D11" s="15"/>
      <c r="E11" s="11" t="s">
        <v>7</v>
      </c>
    </row>
    <row r="12" ht="22.5" customHeight="1">
      <c r="A12" s="11" t="s">
        <v>6</v>
      </c>
      <c r="B12" s="12">
        <v>45799.0</v>
      </c>
      <c r="C12" s="13">
        <v>44.45</v>
      </c>
      <c r="D12" s="15"/>
      <c r="E12" s="11" t="s">
        <v>7</v>
      </c>
    </row>
    <row r="13" ht="22.5" customHeight="1">
      <c r="A13" s="11" t="s">
        <v>6</v>
      </c>
      <c r="B13" s="12">
        <v>45832.0</v>
      </c>
      <c r="C13" s="13">
        <v>43.56</v>
      </c>
      <c r="D13" s="15"/>
      <c r="E13" s="11" t="s">
        <v>7</v>
      </c>
    </row>
    <row r="14" ht="22.5" customHeight="1">
      <c r="A14" s="11" t="s">
        <v>6</v>
      </c>
      <c r="B14" s="12">
        <v>45859.0</v>
      </c>
      <c r="C14" s="13">
        <v>43.16</v>
      </c>
      <c r="D14" s="15"/>
      <c r="E14" s="11" t="s">
        <v>7</v>
      </c>
    </row>
    <row r="15" ht="22.5" customHeight="1">
      <c r="A15" s="11" t="s">
        <v>6</v>
      </c>
      <c r="B15" s="12">
        <v>45890.0</v>
      </c>
      <c r="C15" s="13">
        <v>43.04</v>
      </c>
      <c r="D15" s="15"/>
      <c r="E15" s="11" t="s">
        <v>7</v>
      </c>
    </row>
    <row r="16" ht="22.5" customHeight="1">
      <c r="A16" s="11" t="s">
        <v>6</v>
      </c>
      <c r="B16" s="12">
        <v>45923.0</v>
      </c>
      <c r="C16" s="13">
        <v>42.7</v>
      </c>
      <c r="D16" s="15"/>
      <c r="E16" s="11" t="s">
        <v>7</v>
      </c>
    </row>
    <row r="17" ht="22.5" customHeight="1">
      <c r="A17" s="11" t="s">
        <v>6</v>
      </c>
      <c r="B17" s="12">
        <v>45952.0</v>
      </c>
      <c r="C17" s="13">
        <v>43.09</v>
      </c>
      <c r="D17" s="15"/>
      <c r="E17" s="11" t="s">
        <v>7</v>
      </c>
    </row>
    <row r="18" ht="22.5" customHeight="1">
      <c r="A18" s="3" t="s">
        <v>6</v>
      </c>
      <c r="B18" s="4">
        <v>45982.0</v>
      </c>
      <c r="C18" s="5">
        <v>43.61</v>
      </c>
      <c r="D18" s="16"/>
      <c r="E18" s="3" t="s">
        <v>7</v>
      </c>
    </row>
    <row r="19" ht="22.5" customHeight="1">
      <c r="A19" s="3" t="s">
        <v>6</v>
      </c>
      <c r="B19" s="4">
        <v>46012.0</v>
      </c>
      <c r="C19" s="5">
        <v>42.84</v>
      </c>
      <c r="D19" s="16"/>
      <c r="E19" s="3" t="s">
        <v>7</v>
      </c>
    </row>
    <row r="20" ht="22.5" customHeight="1">
      <c r="A20" s="3" t="s">
        <v>6</v>
      </c>
      <c r="B20" s="4">
        <v>46053.0</v>
      </c>
      <c r="C20" s="5">
        <v>42.36</v>
      </c>
      <c r="D20" s="16"/>
      <c r="E20" s="3" t="s">
        <v>7</v>
      </c>
    </row>
    <row r="21" ht="22.5" customHeight="1">
      <c r="A21" s="3" t="s">
        <v>6</v>
      </c>
      <c r="B21" s="4">
        <v>46083.0</v>
      </c>
      <c r="C21" s="5">
        <v>42.95</v>
      </c>
      <c r="D21" s="16"/>
      <c r="E21" s="3" t="s">
        <v>7</v>
      </c>
    </row>
    <row r="53">
      <c r="B53" s="9" t="s">
        <v>12</v>
      </c>
    </row>
  </sheetData>
  <mergeCells count="1">
    <mergeCell ref="L4:N6"/>
  </mergeCells>
  <dataValidations>
    <dataValidation type="list" allowBlank="1" sqref="E2:E21">
      <formula1>"SI,NO"</formula1>
    </dataValidation>
    <dataValidation type="list" allowBlank="1" sqref="A2:A21">
      <formula1>"IE00BYX5MS15,IE00BYX5NX33,ROBO ADVISOR"</formula1>
    </dataValidation>
    <dataValidation type="custom" allowBlank="1" showDropDown="1" sqref="B2:B21">
      <formula1>OR(NOT(ISERROR(DATEVALUE(B2))), AND(ISNUMBER(B2), LEFT(CELL("format", B2))="D"))</formula1>
    </dataValidation>
    <dataValidation type="custom" allowBlank="1" showDropDown="1" sqref="C2:D21">
      <formula1>AND(ISNUMBER(C2),(NOT(OR(NOT(ISERROR(DATEVALUE(C2))), AND(ISNUMBER(C2), LEFT(CELL("format", C2))="D")))))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75"/>
  </cols>
  <sheetData>
    <row r="1" ht="22.5" customHeight="1">
      <c r="A1" s="1" t="s">
        <v>13</v>
      </c>
      <c r="B1" s="1" t="s">
        <v>14</v>
      </c>
      <c r="C1" s="1" t="s">
        <v>15</v>
      </c>
    </row>
    <row r="2" ht="22.5" customHeight="1">
      <c r="A2" s="17">
        <v>2025.0</v>
      </c>
      <c r="B2" s="17">
        <v>1.0</v>
      </c>
      <c r="C2" s="18">
        <f>SUM(SEGUIMIENTO!C2:C8)</f>
        <v>413.45</v>
      </c>
    </row>
    <row r="3" ht="22.5" customHeight="1">
      <c r="A3" s="17">
        <v>2025.0</v>
      </c>
      <c r="B3" s="17">
        <v>2.0</v>
      </c>
      <c r="C3" s="5">
        <f>SUM(SEGUIMIENTO!C2:C9)</f>
        <v>461.2</v>
      </c>
    </row>
    <row r="4" ht="22.5" customHeight="1">
      <c r="A4" s="19">
        <v>2025.0</v>
      </c>
      <c r="B4" s="19">
        <v>3.0</v>
      </c>
      <c r="C4" s="13">
        <f>SUM(SEGUIMIENTO!C2:C10)</f>
        <v>507.42</v>
      </c>
    </row>
    <row r="5" ht="22.5" customHeight="1">
      <c r="A5" s="17">
        <v>2025.0</v>
      </c>
      <c r="B5" s="17">
        <v>4.0</v>
      </c>
      <c r="C5" s="13">
        <f>SUM(SEGUIMIENTO!C2:C11)</f>
        <v>551.53</v>
      </c>
    </row>
    <row r="6" ht="22.5" customHeight="1">
      <c r="A6" s="19">
        <v>2025.0</v>
      </c>
      <c r="B6" s="19">
        <v>5.0</v>
      </c>
      <c r="C6" s="13">
        <f>SUM(SEGUIMIENTO!C2:C12)</f>
        <v>595.98</v>
      </c>
    </row>
    <row r="7" ht="22.5" customHeight="1">
      <c r="A7" s="17">
        <v>2025.0</v>
      </c>
      <c r="B7" s="17">
        <v>6.0</v>
      </c>
      <c r="C7" s="13">
        <f>SUM(SEGUIMIENTO!C2:C13)</f>
        <v>639.54</v>
      </c>
    </row>
    <row r="8" ht="22.5" customHeight="1">
      <c r="A8" s="19">
        <v>2025.0</v>
      </c>
      <c r="B8" s="17">
        <v>7.0</v>
      </c>
      <c r="C8" s="13">
        <f>SUM(SEGUIMIENTO!C2:C14)</f>
        <v>682.7</v>
      </c>
      <c r="E8" s="9" t="s">
        <v>16</v>
      </c>
    </row>
    <row r="9" ht="22.5" customHeight="1">
      <c r="A9" s="17">
        <v>2025.0</v>
      </c>
      <c r="B9" s="19">
        <v>8.0</v>
      </c>
      <c r="C9" s="13">
        <f>SUM(SEGUIMIENTO!C2:C15)</f>
        <v>725.74</v>
      </c>
    </row>
    <row r="10" ht="22.5" customHeight="1">
      <c r="A10" s="19">
        <v>2025.0</v>
      </c>
      <c r="B10" s="17">
        <v>9.0</v>
      </c>
      <c r="C10" s="13">
        <f>SUM(SEGUIMIENTO!C2:C16)</f>
        <v>768.44</v>
      </c>
    </row>
    <row r="11" ht="22.5" customHeight="1">
      <c r="A11" s="17">
        <v>2025.0</v>
      </c>
      <c r="B11" s="19">
        <v>10.0</v>
      </c>
      <c r="C11" s="13">
        <f>SUM(SEGUIMIENTO!C2:C17)</f>
        <v>811.53</v>
      </c>
    </row>
    <row r="12" ht="22.5" customHeight="1">
      <c r="A12" s="19">
        <v>2025.0</v>
      </c>
      <c r="B12" s="17">
        <v>11.0</v>
      </c>
      <c r="C12" s="13">
        <f>SUM(SEGUIMIENTO!C2:C18)</f>
        <v>855.14</v>
      </c>
    </row>
    <row r="13" ht="22.5" customHeight="1">
      <c r="A13" s="17">
        <v>2025.0</v>
      </c>
      <c r="B13" s="19">
        <v>12.0</v>
      </c>
      <c r="C13" s="13">
        <f>SUM(SEGUIMIENTO!C2:C19)</f>
        <v>897.98</v>
      </c>
    </row>
    <row r="14" ht="22.5" customHeight="1">
      <c r="A14" s="19">
        <v>2026.0</v>
      </c>
      <c r="B14" s="19">
        <v>1.0</v>
      </c>
      <c r="C14" s="13">
        <v>0.0</v>
      </c>
    </row>
    <row r="15" ht="22.5" customHeight="1">
      <c r="A15" s="19">
        <v>2026.0</v>
      </c>
      <c r="B15" s="19">
        <v>2.0</v>
      </c>
      <c r="C15" s="13"/>
    </row>
  </sheetData>
  <dataValidations>
    <dataValidation type="custom" allowBlank="1" showDropDown="1" sqref="C2:C15">
      <formula1>AND(ISNUMBER(C2),(NOT(OR(NOT(ISERROR(DATEVALUE(C2))), AND(ISNUMBER(C2), LEFT(CELL("format", C2))="D")))))</formula1>
    </dataValidation>
  </dataValidations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13</v>
      </c>
      <c r="B1" s="1" t="s">
        <v>14</v>
      </c>
      <c r="C1" s="1" t="s">
        <v>15</v>
      </c>
    </row>
    <row r="2" ht="22.5" customHeight="1">
      <c r="A2" s="17">
        <v>2026.0</v>
      </c>
      <c r="B2" s="17">
        <v>1.0</v>
      </c>
      <c r="C2" s="5">
        <v>1018.98</v>
      </c>
    </row>
    <row r="3" ht="22.5" customHeight="1">
      <c r="A3" s="17">
        <v>2026.0</v>
      </c>
      <c r="B3" s="17">
        <v>2.0</v>
      </c>
      <c r="C3" s="5">
        <v>1165.68</v>
      </c>
    </row>
    <row r="4" ht="22.5" customHeight="1">
      <c r="A4" s="17">
        <v>2026.0</v>
      </c>
      <c r="B4" s="19">
        <v>3.0</v>
      </c>
      <c r="C4" s="13">
        <v>990.15</v>
      </c>
    </row>
    <row r="5" ht="22.5" customHeight="1">
      <c r="A5" s="17">
        <v>2026.0</v>
      </c>
      <c r="B5" s="17">
        <v>4.0</v>
      </c>
      <c r="C5" s="13">
        <v>968.28</v>
      </c>
    </row>
    <row r="6" ht="22.5" customHeight="1">
      <c r="A6" s="17">
        <v>2026.0</v>
      </c>
      <c r="B6" s="19">
        <v>5.0</v>
      </c>
      <c r="C6" s="13">
        <v>1262.65</v>
      </c>
    </row>
    <row r="7" ht="22.5" customHeight="1">
      <c r="A7" s="17">
        <v>2026.0</v>
      </c>
      <c r="B7" s="17">
        <v>6.0</v>
      </c>
      <c r="C7" s="13"/>
    </row>
    <row r="8" ht="22.5" customHeight="1">
      <c r="A8" s="17">
        <v>2026.0</v>
      </c>
      <c r="B8" s="17">
        <v>7.0</v>
      </c>
      <c r="C8" s="13"/>
    </row>
    <row r="9" ht="22.5" customHeight="1">
      <c r="A9" s="17">
        <v>2026.0</v>
      </c>
      <c r="B9" s="19">
        <v>8.0</v>
      </c>
      <c r="C9" s="13"/>
    </row>
    <row r="10" ht="22.5" customHeight="1">
      <c r="A10" s="17">
        <v>2026.0</v>
      </c>
      <c r="B10" s="17">
        <v>9.0</v>
      </c>
      <c r="C10" s="13"/>
    </row>
    <row r="11" ht="22.5" customHeight="1">
      <c r="A11" s="17">
        <v>2026.0</v>
      </c>
      <c r="B11" s="19">
        <v>10.0</v>
      </c>
      <c r="C11" s="13"/>
    </row>
    <row r="12" ht="22.5" customHeight="1">
      <c r="A12" s="17">
        <v>2026.0</v>
      </c>
      <c r="B12" s="17">
        <v>11.0</v>
      </c>
      <c r="C12" s="13"/>
    </row>
    <row r="13" ht="22.5" customHeight="1">
      <c r="A13" s="17">
        <v>2026.0</v>
      </c>
      <c r="B13" s="19">
        <v>12.0</v>
      </c>
      <c r="C13" s="13"/>
    </row>
    <row r="14" ht="22.5" customHeight="1">
      <c r="B14" s="19"/>
      <c r="C14" s="13"/>
    </row>
    <row r="15" ht="22.5" customHeight="1">
      <c r="A15" s="19"/>
      <c r="B15" s="19"/>
      <c r="C15" s="13"/>
    </row>
  </sheetData>
  <dataValidations>
    <dataValidation type="custom" allowBlank="1" showDropDown="1" sqref="C2:C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