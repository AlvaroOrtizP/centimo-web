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guimiento" sheetId="1" r:id="rId5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5">
      <text>
        <t xml:space="preserve">La orden fue el 29/11 pero los findes esta cerrado</t>
      </text>
    </comment>
  </commentList>
</comments>
</file>

<file path=xl/sharedStrings.xml><?xml version="1.0" encoding="utf-8"?>
<sst xmlns="http://schemas.openxmlformats.org/spreadsheetml/2006/main" count="30" uniqueCount="21">
  <si>
    <t>Fecha de compra</t>
  </si>
  <si>
    <t>Empresa</t>
  </si>
  <si>
    <t>APP</t>
  </si>
  <si>
    <t>Cantidad de Acciones</t>
  </si>
  <si>
    <t>Fecha</t>
  </si>
  <si>
    <t>Año de retirada</t>
  </si>
  <si>
    <t>Total acciones</t>
  </si>
  <si>
    <t>Dividendo por Acción (€) (brutos)</t>
  </si>
  <si>
    <t>Dividendo por Acción (€) (netos)</t>
  </si>
  <si>
    <t>Dividendo Total (Dolares)</t>
  </si>
  <si>
    <t>Dividendo Total (Euros)</t>
  </si>
  <si>
    <t>Año</t>
  </si>
  <si>
    <t>Resultado por Año (€)</t>
  </si>
  <si>
    <t>Repsol</t>
  </si>
  <si>
    <t>ETORO</t>
  </si>
  <si>
    <t>BBVA</t>
  </si>
  <si>
    <t>McDonald's</t>
  </si>
  <si>
    <t>NIKE</t>
  </si>
  <si>
    <t>MC.PA</t>
  </si>
  <si>
    <t>RI.PA</t>
  </si>
  <si>
    <t>STLA.US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</si>
</sst>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&quot;$&quot;#,##0.00"/>
    <numFmt numFmtId="166" formatCode="d/m/yyyy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u/>
      <color rgb="FF0000FF"/>
      <name val="Roboto"/>
    </font>
    <font>
      <u/>
      <color rgb="FF0000FF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vertical="bottom"/>
    </xf>
    <xf borderId="0" fillId="0" fontId="1" numFmtId="49" xfId="0" applyAlignment="1" applyFont="1" applyNumberFormat="1">
      <alignment horizontal="left"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2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readingOrder="0" shrinkToFit="0" vertical="center" wrapText="0"/>
    </xf>
    <xf borderId="0" fillId="0" fontId="1" numFmtId="1" xfId="0" applyAlignment="1" applyFont="1" applyNumberFormat="1">
      <alignment shrinkToFit="0" vertical="center" wrapText="0"/>
    </xf>
    <xf borderId="0" fillId="0" fontId="1" numFmtId="165" xfId="0" applyAlignment="1" applyFont="1" applyNumberFormat="1">
      <alignment shrinkToFit="0" vertical="center" wrapText="0"/>
    </xf>
    <xf borderId="0" fillId="0" fontId="1" numFmtId="166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6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eguimient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uimiento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eguimiento-style 3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D8" displayName="Tabla_2" name="Tabla_2" id="1">
  <tableColumns count="4">
    <tableColumn name="Fecha de compra" id="1"/>
    <tableColumn name="Empresa" id="2"/>
    <tableColumn name="APP" id="3"/>
    <tableColumn name="Cantidad de Acciones" id="4"/>
  </tableColumns>
  <tableStyleInfo name="Seguimiento-style" showColumnStripes="0" showFirstColumn="1" showLastColumn="1" showRowStripes="1"/>
</table>
</file>

<file path=xl/tables/table2.xml><?xml version="1.0" encoding="utf-8"?>
<table xmlns="http://schemas.openxmlformats.org/spreadsheetml/2006/main" ref="F1:M5" displayName="Tabla_1" name="Tabla_1" id="2">
  <tableColumns count="8">
    <tableColumn name="Fecha" id="1"/>
    <tableColumn name="Año de retirada" id="2"/>
    <tableColumn name="Empresa" id="3"/>
    <tableColumn name="Total acciones" id="4"/>
    <tableColumn name="Dividendo por Acción (€) (brutos)" id="5"/>
    <tableColumn name="Dividendo por Acción (€) (netos)" id="6"/>
    <tableColumn name="Dividendo Total (Dolares)" id="7"/>
    <tableColumn name="Dividendo Total (Euros)" id="8"/>
  </tableColumns>
  <tableStyleInfo name="Seguimiento-style 2" showColumnStripes="0" showFirstColumn="1" showLastColumn="1" showRowStripes="1"/>
</table>
</file>

<file path=xl/tables/table3.xml><?xml version="1.0" encoding="utf-8"?>
<table xmlns="http://schemas.openxmlformats.org/spreadsheetml/2006/main" ref="O1:P4" displayName="Tabla_3" name="Tabla_3" id="3">
  <tableColumns count="2">
    <tableColumn name="Año" id="1"/>
    <tableColumn name="Resultado por Año (€)" id="2"/>
  </tableColumns>
  <tableStyleInfo name="Seguimiento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hyperlink" Target="https://finance.yahoo.com/chart/RI.PA" TargetMode="External"/><Relationship Id="rId3" Type="http://schemas.openxmlformats.org/officeDocument/2006/relationships/hyperlink" Target="http://stla.us/" TargetMode="External"/><Relationship Id="rId4" Type="http://schemas.openxmlformats.org/officeDocument/2006/relationships/drawing" Target="../drawings/drawing1.xml"/><Relationship Id="rId11" Type="http://schemas.openxmlformats.org/officeDocument/2006/relationships/table" Target="../tables/table3.xml"/><Relationship Id="rId10" Type="http://schemas.openxmlformats.org/officeDocument/2006/relationships/table" Target="../tables/table2.xml"/><Relationship Id="rId9" Type="http://schemas.openxmlformats.org/officeDocument/2006/relationships/table" Target="../tables/table1.xml"/><Relationship Id="rId5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6.0"/>
    <col customWidth="1" min="3" max="3" width="17.0"/>
    <col customWidth="1" min="4" max="4" width="23.38"/>
    <col customWidth="1" min="9" max="9" width="20.88"/>
    <col customWidth="1" min="10" max="10" width="31.0"/>
    <col customWidth="1" min="11" max="11" width="35.5"/>
    <col customWidth="1" min="12" max="12" width="27.5"/>
    <col customWidth="1" min="13" max="13" width="26.0"/>
    <col customWidth="1" min="16" max="16" width="24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2"/>
      <c r="F1" s="1" t="s">
        <v>4</v>
      </c>
      <c r="G1" s="3" t="s">
        <v>5</v>
      </c>
      <c r="H1" s="1" t="s">
        <v>1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O1" s="1" t="s">
        <v>11</v>
      </c>
      <c r="P1" s="1" t="s">
        <v>12</v>
      </c>
    </row>
    <row r="2" ht="22.5" customHeight="1">
      <c r="A2" s="4">
        <v>45562.0</v>
      </c>
      <c r="B2" s="5" t="s">
        <v>13</v>
      </c>
      <c r="C2" s="6" t="s">
        <v>14</v>
      </c>
      <c r="D2" s="5">
        <v>0.759699</v>
      </c>
      <c r="E2" s="2"/>
      <c r="F2" s="4">
        <v>45575.0</v>
      </c>
      <c r="G2" s="5">
        <v>2024.0</v>
      </c>
      <c r="H2" s="5" t="s">
        <v>15</v>
      </c>
      <c r="I2" s="5">
        <f>D4</f>
        <v>9</v>
      </c>
      <c r="J2" s="5">
        <v>0.29</v>
      </c>
      <c r="K2" s="7">
        <v>0.2349</v>
      </c>
      <c r="L2" s="8"/>
      <c r="M2" s="9">
        <v>2.11</v>
      </c>
      <c r="O2" s="10">
        <v>2024.0</v>
      </c>
      <c r="P2" s="11">
        <f t="shared" ref="P2:P4" si="1">SUMIF(G:G, O2, M3:M1000)
</f>
        <v>2.58</v>
      </c>
    </row>
    <row r="3" ht="22.5" customHeight="1">
      <c r="A3" s="12">
        <v>45588.0</v>
      </c>
      <c r="B3" s="5" t="s">
        <v>16</v>
      </c>
      <c r="C3" s="6" t="s">
        <v>14</v>
      </c>
      <c r="D3" s="5">
        <v>0.06813</v>
      </c>
      <c r="E3" s="2"/>
      <c r="F3" s="4">
        <v>45642.0</v>
      </c>
      <c r="G3" s="5">
        <v>2024.0</v>
      </c>
      <c r="H3" s="5" t="str">
        <f>B3</f>
        <v>McDonald's</v>
      </c>
      <c r="I3" s="5">
        <v>0.06813</v>
      </c>
      <c r="J3" s="5">
        <v>0.1</v>
      </c>
      <c r="K3" s="7">
        <v>0.0</v>
      </c>
      <c r="L3" s="9">
        <v>0.1</v>
      </c>
      <c r="M3" s="9">
        <v>0.09</v>
      </c>
      <c r="O3" s="10">
        <v>2025.0</v>
      </c>
      <c r="P3" s="11">
        <f t="shared" si="1"/>
        <v>0</v>
      </c>
    </row>
    <row r="4" ht="22.5" customHeight="1">
      <c r="A4" s="12">
        <v>45575.0</v>
      </c>
      <c r="B4" s="5" t="s">
        <v>15</v>
      </c>
      <c r="C4" s="6" t="s">
        <v>15</v>
      </c>
      <c r="D4" s="5">
        <v>9.0</v>
      </c>
      <c r="E4" s="2"/>
      <c r="F4" s="13">
        <v>45672.0</v>
      </c>
      <c r="G4" s="14">
        <v>2025.0</v>
      </c>
      <c r="H4" s="5" t="str">
        <f>B2</f>
        <v>Repsol</v>
      </c>
      <c r="I4" s="5">
        <v>0.759699</v>
      </c>
      <c r="J4" s="5"/>
      <c r="K4" s="7"/>
      <c r="L4" s="9">
        <v>0.3</v>
      </c>
      <c r="M4" s="9">
        <v>0.29</v>
      </c>
      <c r="O4" s="10">
        <v>2026.0</v>
      </c>
      <c r="P4" s="11">
        <f t="shared" si="1"/>
        <v>0</v>
      </c>
    </row>
    <row r="5" ht="22.5" customHeight="1">
      <c r="A5" s="12">
        <v>45628.0</v>
      </c>
      <c r="B5" s="5" t="s">
        <v>17</v>
      </c>
      <c r="C5" s="6" t="s">
        <v>14</v>
      </c>
      <c r="D5" s="5">
        <v>0.6757</v>
      </c>
      <c r="E5" s="2"/>
      <c r="F5" s="15">
        <v>45787.0</v>
      </c>
      <c r="G5" s="14">
        <v>2025.0</v>
      </c>
      <c r="H5" s="14" t="s">
        <v>15</v>
      </c>
      <c r="I5" s="14">
        <v>9.0</v>
      </c>
      <c r="J5" s="14">
        <v>0.49</v>
      </c>
      <c r="K5" s="7"/>
      <c r="L5" s="11"/>
      <c r="M5" s="9">
        <v>2.29</v>
      </c>
    </row>
    <row r="6" ht="22.5" customHeight="1">
      <c r="A6" s="12">
        <v>45629.0</v>
      </c>
      <c r="B6" s="5" t="s">
        <v>18</v>
      </c>
      <c r="C6" s="6" t="s">
        <v>14</v>
      </c>
      <c r="D6" s="5">
        <v>0.24</v>
      </c>
      <c r="E6" s="2"/>
      <c r="F6" s="2"/>
      <c r="G6" s="2"/>
      <c r="H6" s="2"/>
      <c r="I6" s="2"/>
      <c r="J6" s="2"/>
      <c r="K6" s="2"/>
      <c r="L6" s="2"/>
    </row>
    <row r="7" ht="22.5" customHeight="1">
      <c r="A7" s="12">
        <v>45635.0</v>
      </c>
      <c r="B7" s="16" t="s">
        <v>19</v>
      </c>
      <c r="C7" s="6" t="s">
        <v>14</v>
      </c>
      <c r="D7" s="5">
        <v>0.46</v>
      </c>
      <c r="E7" s="2"/>
      <c r="F7" s="2"/>
      <c r="G7" s="2"/>
      <c r="H7" s="2"/>
      <c r="I7" s="2"/>
      <c r="J7" s="2"/>
      <c r="K7" s="2"/>
      <c r="L7" s="2"/>
    </row>
    <row r="8" ht="22.5" customHeight="1">
      <c r="A8" s="15">
        <v>45636.0</v>
      </c>
      <c r="B8" s="17" t="s">
        <v>20</v>
      </c>
      <c r="C8" s="18" t="s">
        <v>14</v>
      </c>
      <c r="D8" s="14">
        <v>3.69655</v>
      </c>
      <c r="E8" s="2"/>
      <c r="F8" s="2"/>
      <c r="G8" s="2"/>
      <c r="H8" s="2"/>
      <c r="I8" s="2"/>
      <c r="J8" s="2"/>
      <c r="K8" s="2"/>
      <c r="L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</sheetData>
  <dataValidations>
    <dataValidation type="list" allowBlank="1" sqref="C2:C8">
      <formula1>"ETORO,BBVA"</formula1>
    </dataValidation>
    <dataValidation type="custom" allowBlank="1" showDropDown="1" sqref="O2:P4 K2:M5">
      <formula1>AND(ISNUMBER(K2),(NOT(OR(NOT(ISERROR(DATEVALUE(K2))), AND(ISNUMBER(K2), LEFT(CELL("format", K2))="D")))))</formula1>
    </dataValidation>
  </dataValidations>
  <hyperlinks>
    <hyperlink r:id="rId2" location="eyJsYXlvdXQiOnsiaW50ZXJ2YWwiOiJkYXkiLCJwZXJpb2RpY2l0eSI6MSwidGltZVVuaXQiOm51bGwsImNhbmRsZVdpZHRoIjoxMS44Mzg0NjE1Mzg0NjE1MzksImZsaXBwZWQiOmZhbHNlLCJ2b2x1bWVVbmRlcmxheSI6ZmFsc2UsImFkaiI6dHJ1ZSwiY3Jvc3NoYWlyIjp0cnVlLCJjaGFydFR5cGUiOiJtb3VudGFpbiIsImV4dGVuZGVkIjpmYWxzZSwibWFya2V0U2Vzc2lvbnMiOnt9LCJhZ2dyZWdhdGlvblR5cGUiOiJvaGxjIiwiY2hhcnRTY2FsZSI6ImxpbmVhciIsInN0dWRpZXMiOnt9LCJwYW5lbHMiOnsiY2hhcnQiOnsicGVyY2VudCI6MSwiZGlzcGxheSI6IlJJLlBBIiwiY2hhcnROYW1lIjoiY2hhcnQiLCJpbmRleCI6MCwieUF4aXMiOnsibmFtZSI6ImNoYXJ0IiwicG9zaXRpb24iOm51bGx9LCJ5YXhpc0xIUyI6W10sInlheGlzUkhTIjpbImNoYXJ0Il19fSwic2V0U3BhbiI6eyJtdWx0aXBsaWVyIjo2LCJiYXNlIjoibW9udGgiLCJwZXJpb2RpY2l0eSI6eyJwZXJpb2QiOjEsInRpbWVVbml0IjoiZGF5In0sInNob3dFdmVudHNRdW90ZSI6dHJ1ZX0sIm91dGxpZXJzIjpmYWxzZSwiYW5pbWF0aW9uIjp0cnVlLCJoZWFkc1VwIjp7InN0YXRpYyI6dHJ1ZSwiZHluYW1pYyI6ZmFsc2UsImZsb2F0aW5nIjpmYWxzZX0sImxpbmVXaWR0aCI6MiwiZnVsbFNjcmVlbiI6dHJ1ZSwic3RyaXBlZEJhY2tncm91bmQiOnRydWUsImNvbG9yIjoiIzAwODFmMiIsInN5bWJvbHMiOlt7InN5bWJvbCI6IlJJLlBBIiwic3ltYm9sT2JqZWN0Ijp7InN5bWJvbCI6IlJJLlBBIiwicXVvdGVUeXBlIjoiRVFVSVRZIiwiZXhjaGFuZ2VUaW1lWm9uZSI6IkV1cm9wZS9QYXJpcyIsInBlcmlvZDEiOjE2MjI0OTg0MDAsInBlcmlvZDIiOjE3MzM2NzAwMDB9LCJwZXJpb2RpY2l0eSI6MSwiaW50ZXJ2YWwiOiJkYXkiLCJ0aW1lVW5pdCI6bnVsbCwic2V0U3BhbiI6eyJtdWx0aXBsaWVyIjo2LCJiYXNlIjoibW9udGgiLCJwZXJpb2RpY2l0eSI6eyJwZXJpb2QiOjEsInRpbWVVbml0IjoiZGF5In0sInNob3dFdmVudHNRdW90ZSI6dHJ1ZX19XX0sImV2ZW50cyI6eyJkaXZzIjp0cnVlLCJzcGxpdHMiOmZhbHNlLCJ0cmFkaW5nSG9yaXpvbiI6Im5vbmUiLCJzaWdEZXZFdmVudHMiOltdfSwiZHJhd2luZ3MiOlt7Im5hbWUiOiJ2ZXJ0aWNhbCIsInBubCI6ImNoYXJ0IiwiY29sIjoiI2U5MDg4YyIsInB0cm4iOiJzb2xpZCIsImx3IjoxLCJ2MCI6MTA3Ljc5Njc2NzA3MDAxNDc0LCJkMCI6IjIwMjQxMjA2MTcyODAwMDAwIiwidHpvMCI6LTYwLCJhbCI6dHJ1ZSwiZmxkIjpudWxsLCJzcCI6ZmFsc2V9LHsibmFtZSI6Imhvcml6b250YWwiLCJwbmwiOiJjaGFydCIsImNvbCI6IiNlOTA4OGMiLCJwdHJuIjoic29saWQiLCJsdyI6MSwidjAiOjEwOC41MDA2NTA2OTIzOTk5MiwiZDAiOiIyMDI0MTIwNjE3MjYwMDAwMCIsInR6bzAiOi02MCwiYWwiOnRydWUsImZsZCI6bnVsbH0seyJuYW1lIjoiYW5ub3RhdGlvbiIsInBubCI6ImNoYXJ0IiwiY29sIjoiI2U5MDg4YyIsImQwIjoiMjAyNDEyMDYxNzA5MDAwMDAiLCJ0em8wIjotNjAsInYwIjoxMDguNTE5Mjc5Mjg5NzMyMjIsImZsZCI6bnVsbCwidGV4dCI6IkNvbXByYSIsImhkbiI6MCwicHJtIjowLCJmbnQiOnsic3oiOiIxMnB4IiwiZmwiOiJIZWx2ZXRpY2EsIHNhbnMtc2VyaWYifX1dLCJwcmVmZXJlbmNlcyI6eyJjdXJyZW50UHJpY2VMaW5lIjp0cnVlLCJkaXNwbGF5Q3Jvc3NoYWlyc1dpdGhEcmF3aW5nVG9vbCI6ZmFsc2UsImRyYXdpbmdzIjpudWxsLCJoaWdobGlnaHRzUmFkaXVzIjoxMCwiaGlnaGxpZ2h0c1RhcFJhZGl1cyI6MzAsIm1hZ25ldCI6ZmFsc2UsImhvcml6b250YWxDcm9zc2hhaXJGaWVsZCI6bnVsbCwibGFiZWxzIjp0cnVlLCJsYW5ndWFnZSI6bnVsbCwidGltZVpvbmUiOiJFdXJvcGUvQW1zdGVyZGFtIiwid2hpdGVzcGFjZSI6NTAsInpvb21JblNwZWVkIjpudWxsLCJ6b29tT3V0U3BlZWQiOm51bGwsInpvb21BdEN1cnJlbnRNb3VzZVBvc2l0aW9uIjpmYWxzZX19" ref="B7"/>
    <hyperlink r:id="rId3" ref="B8"/>
  </hyperlinks>
  <drawing r:id="rId4"/>
  <legacyDrawing r:id="rId5"/>
  <tableParts count="3">
    <tablePart r:id="rId9"/>
    <tablePart r:id="rId10"/>
    <tablePart r:id="rId11"/>
  </tableParts>
</worksheet>
</file>