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GENERAL" sheetId="1" r:id="rId5"/>
    <sheet state="visible" name="Seguimiento" sheetId="2" r:id="rId6"/>
    <sheet state="visible" name="PRESTAMOS ACTIV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DINERO QUE SE QUEDA POR POSIBLES TASAS</t>
      </text>
    </comment>
  </commentList>
</comments>
</file>

<file path=xl/sharedStrings.xml><?xml version="1.0" encoding="utf-8"?>
<sst xmlns="http://schemas.openxmlformats.org/spreadsheetml/2006/main" count="91" uniqueCount="49">
  <si>
    <t>DINERO APORTADO/SACADO</t>
  </si>
  <si>
    <t>MES</t>
  </si>
  <si>
    <t>Fecha ejecucion orden</t>
  </si>
  <si>
    <t>Fecha recepcion</t>
  </si>
  <si>
    <t>AÑO</t>
  </si>
  <si>
    <t>OPCION</t>
  </si>
  <si>
    <t>TOTAL DINERO APORTADO</t>
  </si>
  <si>
    <t>Notas</t>
  </si>
  <si>
    <t>ENERO</t>
  </si>
  <si>
    <t>POR COMISIONES</t>
  </si>
  <si>
    <t>20/03/2025 Retirada de 16 euros de mintos para posteriormente ingresar en la cartera de mintos 50</t>
  </si>
  <si>
    <t>PERSONALIZADO</t>
  </si>
  <si>
    <t>28/03/2025 Retirada de 12 euros de mintos para reinvertir</t>
  </si>
  <si>
    <t>CARTERA</t>
  </si>
  <si>
    <t>MARZO</t>
  </si>
  <si>
    <t>Retirada</t>
  </si>
  <si>
    <t>ABRIL</t>
  </si>
  <si>
    <t>MAYO</t>
  </si>
  <si>
    <t>Estimada 6/5/2025</t>
  </si>
  <si>
    <t>JUNIO</t>
  </si>
  <si>
    <t>Se quiere hacer una parte personalizado y otra a cartera</t>
  </si>
  <si>
    <t>JULIO</t>
  </si>
  <si>
    <t>Fecha de registro de TOTAL</t>
  </si>
  <si>
    <t>DINERO TOTAL ACTUAL</t>
  </si>
  <si>
    <t>revisar desde la app ya que mintos ya quita parte de lo indicado para hacienda</t>
  </si>
  <si>
    <t>FECHA INVERSION</t>
  </si>
  <si>
    <t>ID PESTAMO</t>
  </si>
  <si>
    <t>PAIS PRESTAMO</t>
  </si>
  <si>
    <t>CANTIDAD INVERTIDA</t>
  </si>
  <si>
    <t>TASA INTERES</t>
  </si>
  <si>
    <t>ESTADO</t>
  </si>
  <si>
    <t>FECHA VENCIMIENTO ESPERADA</t>
  </si>
  <si>
    <t>PAGOS RECIBIDOS</t>
  </si>
  <si>
    <t>PENDIENTE POR RECIBIR</t>
  </si>
  <si>
    <t>LVX0000KSZQ2</t>
  </si>
  <si>
    <t>EE: Estonia</t>
  </si>
  <si>
    <t>ACTIVO</t>
  </si>
  <si>
    <t>LVX0000L6VD9</t>
  </si>
  <si>
    <t>KZ: Kazakhstan</t>
  </si>
  <si>
    <t>LVX0000NVD67</t>
  </si>
  <si>
    <t>España</t>
  </si>
  <si>
    <t>LVX0000O1KN9</t>
  </si>
  <si>
    <t>LVX0000O3EX7</t>
  </si>
  <si>
    <t>LVX0000NVEO0</t>
  </si>
  <si>
    <t>LVX0000M6PV2</t>
  </si>
  <si>
    <t>/</t>
  </si>
  <si>
    <t>LVX0000MOEC2</t>
  </si>
  <si>
    <t>LVX0000PFK66</t>
  </si>
  <si>
    <t>LVX0000PKU00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</si>
</sst>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/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Roobert"/>
    </font>
    <font>
      <u/>
      <color rgb="FF0000FF"/>
      <name val="Roboto"/>
    </font>
    <font>
      <u/>
      <color rgb="FF0000FF"/>
      <name val="Roboto"/>
    </font>
    <font>
      <sz val="11.0"/>
      <color rgb="FF121417"/>
      <name val="Arial"/>
    </font>
    <font>
      <sz val="11.0"/>
      <color rgb="FF121417"/>
      <name val="Inte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7F6"/>
        <bgColor rgb="FFF2F7F6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3" fontId="6" numFmtId="165" xfId="0" applyAlignment="1" applyFill="1" applyFont="1" applyNumberFormat="1">
      <alignment readingOrder="0" shrinkToFit="0" vertical="center" wrapText="0"/>
    </xf>
    <xf borderId="0" fillId="3" fontId="7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ESUMEN GEN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uimi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STAMOS ACTIV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9" displayName="Tabla_1" name="Tabla_1" id="1">
  <tableColumns count="6">
    <tableColumn name="DINERO APORTADO/SACADO" id="1"/>
    <tableColumn name="MES" id="2"/>
    <tableColumn name="Fecha ejecucion orden" id="3"/>
    <tableColumn name="Fecha recepcion" id="4"/>
    <tableColumn name="AÑO" id="5"/>
    <tableColumn name="OPCION" id="6"/>
  </tableColumns>
  <tableStyleInfo name="RESUMEN GENERAL-style" showColumnStripes="0" showFirstColumn="1" showLastColumn="1" showRowStripes="1"/>
</table>
</file>

<file path=xl/tables/table2.xml><?xml version="1.0" encoding="utf-8"?>
<table xmlns="http://schemas.openxmlformats.org/spreadsheetml/2006/main" ref="A1:B19" displayName="Tabla_3" name="Tabla_3" id="2">
  <tableColumns count="2">
    <tableColumn name="Fecha de registro de TOTAL" id="1"/>
    <tableColumn name="DINERO TOTAL ACTUAL" id="2"/>
  </tableColumns>
  <tableStyleInfo name="Seguimiento-style" showColumnStripes="0" showFirstColumn="1" showLastColumn="1" showRowStripes="1"/>
</table>
</file>

<file path=xl/tables/table3.xml><?xml version="1.0" encoding="utf-8"?>
<table xmlns="http://schemas.openxmlformats.org/spreadsheetml/2006/main" ref="A1:I12" displayName="Tabla_2" name="Tabla_2" id="3">
  <tableColumns count="9">
    <tableColumn name="FECHA INVERSION" id="1"/>
    <tableColumn name="ID PESTAMO" id="2"/>
    <tableColumn name="PAIS PRESTAMO" id="3"/>
    <tableColumn name="CANTIDAD INVERTIDA" id="4"/>
    <tableColumn name="TASA INTERES" id="5"/>
    <tableColumn name="ESTADO" id="6"/>
    <tableColumn name="FECHA VENCIMIENTO ESPERADA" id="7"/>
    <tableColumn name="PAGOS RECIBIDOS" id="8"/>
    <tableColumn name="PENDIENTE POR RECIBIR" id="9"/>
  </tableColumns>
  <tableStyleInfo name="PRESTAMOS ACT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ntos.com/es/set-of-notes/LVX0000KSZQ2/" TargetMode="External"/><Relationship Id="rId2" Type="http://schemas.openxmlformats.org/officeDocument/2006/relationships/hyperlink" Target="https://www.mintos.com/es/set-of-notes/LVX0000L6VD9/" TargetMode="External"/><Relationship Id="rId3" Type="http://schemas.openxmlformats.org/officeDocument/2006/relationships/hyperlink" Target="https://www.mintos.com/es/set-of-notes/LVX0000NVD67/" TargetMode="External"/><Relationship Id="rId4" Type="http://schemas.openxmlformats.org/officeDocument/2006/relationships/hyperlink" Target="https://www.mintos.com/es/set-of-notes/LVX0000O1KN9/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www.mintos.com/es/set-of-notes/LVX0000PKU00/" TargetMode="External"/><Relationship Id="rId13" Type="http://schemas.openxmlformats.org/officeDocument/2006/relationships/table" Target="../tables/table3.xml"/><Relationship Id="rId9" Type="http://schemas.openxmlformats.org/officeDocument/2006/relationships/hyperlink" Target="https://www.mintos.com/es/set-of-notes/LVX0000PFK66/" TargetMode="External"/><Relationship Id="rId5" Type="http://schemas.openxmlformats.org/officeDocument/2006/relationships/hyperlink" Target="https://www.mintos.com/es/set-of-notes/LVX0000O3EX7/" TargetMode="External"/><Relationship Id="rId6" Type="http://schemas.openxmlformats.org/officeDocument/2006/relationships/hyperlink" Target="https://www.mintos.com/es/set-of-notes/LVX0000NVEO0/" TargetMode="External"/><Relationship Id="rId7" Type="http://schemas.openxmlformats.org/officeDocument/2006/relationships/hyperlink" Target="https://www.mintos.com/es/set-of-notes/LVX0000M6PV2/" TargetMode="External"/><Relationship Id="rId8" Type="http://schemas.openxmlformats.org/officeDocument/2006/relationships/hyperlink" Target="https://www.mintos.com/es/set-of-notes/LVX0000MOEC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15.63"/>
    <col customWidth="1" min="3" max="3" width="20.13"/>
    <col customWidth="1" min="4" max="4" width="29.38"/>
    <col customWidth="1" min="5" max="5" width="17.88"/>
    <col customWidth="1" min="6" max="6" width="25.88"/>
    <col customWidth="1" min="8" max="8" width="27.25"/>
    <col customWidth="1" min="9" max="9" width="29.5"/>
    <col customWidth="1" min="10" max="10" width="27.7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H1" s="4" t="s">
        <v>6</v>
      </c>
      <c r="L1" s="5" t="s">
        <v>7</v>
      </c>
    </row>
    <row r="2" ht="22.5" customHeight="1">
      <c r="A2" s="6">
        <v>0.05</v>
      </c>
      <c r="B2" s="7" t="s">
        <v>8</v>
      </c>
      <c r="C2" s="8">
        <v>45670.0</v>
      </c>
      <c r="D2" s="9"/>
      <c r="E2" s="9">
        <v>2025.0</v>
      </c>
      <c r="F2" s="10" t="s">
        <v>9</v>
      </c>
      <c r="H2" s="11">
        <f>SUM(A2:A20)</f>
        <v>5119.05</v>
      </c>
      <c r="L2" s="5" t="s">
        <v>10</v>
      </c>
    </row>
    <row r="3" ht="22.5" customHeight="1">
      <c r="A3" s="6">
        <v>50.0</v>
      </c>
      <c r="B3" s="7" t="s">
        <v>8</v>
      </c>
      <c r="C3" s="8">
        <v>45671.0</v>
      </c>
      <c r="D3" s="9"/>
      <c r="E3" s="9">
        <v>2025.0</v>
      </c>
      <c r="F3" s="10" t="s">
        <v>11</v>
      </c>
      <c r="L3" s="5" t="s">
        <v>12</v>
      </c>
    </row>
    <row r="4" ht="22.5" customHeight="1">
      <c r="A4" s="6">
        <v>100.0</v>
      </c>
      <c r="B4" s="7" t="s">
        <v>8</v>
      </c>
      <c r="C4" s="8">
        <v>45681.0</v>
      </c>
      <c r="D4" s="9"/>
      <c r="E4" s="9">
        <v>2025.0</v>
      </c>
      <c r="F4" s="10" t="s">
        <v>13</v>
      </c>
    </row>
    <row r="5" ht="22.5" customHeight="1">
      <c r="A5" s="6">
        <v>50.0</v>
      </c>
      <c r="B5" s="7" t="s">
        <v>14</v>
      </c>
      <c r="C5" s="8">
        <v>45737.0</v>
      </c>
      <c r="D5" s="9"/>
      <c r="E5" s="9">
        <v>2025.0</v>
      </c>
      <c r="F5" s="10" t="s">
        <v>13</v>
      </c>
    </row>
    <row r="6" ht="22.5" customHeight="1">
      <c r="A6" s="6">
        <v>-16.0</v>
      </c>
      <c r="B6" s="7" t="s">
        <v>14</v>
      </c>
      <c r="C6" s="9"/>
      <c r="D6" s="9"/>
      <c r="E6" s="9">
        <v>2025.0</v>
      </c>
      <c r="F6" s="10" t="s">
        <v>15</v>
      </c>
    </row>
    <row r="7" ht="22.5" customHeight="1">
      <c r="A7" s="6">
        <v>-12.0</v>
      </c>
      <c r="B7" s="7" t="s">
        <v>14</v>
      </c>
      <c r="C7" s="9"/>
      <c r="D7" s="9"/>
      <c r="E7" s="9">
        <v>2025.0</v>
      </c>
      <c r="F7" s="10" t="s">
        <v>15</v>
      </c>
    </row>
    <row r="8" ht="22.5" customHeight="1">
      <c r="A8" s="6">
        <v>150.0</v>
      </c>
      <c r="B8" s="7" t="s">
        <v>16</v>
      </c>
      <c r="C8" s="8">
        <v>45747.0</v>
      </c>
      <c r="D8" s="9"/>
      <c r="E8" s="9">
        <v>2025.0</v>
      </c>
      <c r="F8" s="10" t="s">
        <v>13</v>
      </c>
    </row>
    <row r="9" ht="22.5" customHeight="1">
      <c r="A9" s="12">
        <v>-23.0</v>
      </c>
      <c r="B9" s="10" t="s">
        <v>16</v>
      </c>
      <c r="C9" s="13"/>
      <c r="D9" s="13"/>
      <c r="E9" s="9">
        <v>2025.0</v>
      </c>
      <c r="F9" s="10" t="s">
        <v>13</v>
      </c>
    </row>
    <row r="10" ht="22.5" customHeight="1">
      <c r="A10" s="12">
        <v>100.0</v>
      </c>
      <c r="B10" s="10" t="s">
        <v>16</v>
      </c>
      <c r="C10" s="14">
        <v>45776.0</v>
      </c>
      <c r="D10" s="13"/>
      <c r="E10" s="9">
        <v>2025.0</v>
      </c>
      <c r="F10" s="10" t="s">
        <v>13</v>
      </c>
    </row>
    <row r="11" ht="22.5" customHeight="1">
      <c r="A11" s="12">
        <v>100.0</v>
      </c>
      <c r="B11" s="10" t="s">
        <v>17</v>
      </c>
      <c r="C11" s="14">
        <v>45781.0</v>
      </c>
      <c r="D11" s="13" t="s">
        <v>18</v>
      </c>
      <c r="E11" s="13">
        <v>2025.0</v>
      </c>
      <c r="F11" s="10" t="s">
        <v>13</v>
      </c>
    </row>
    <row r="12" ht="22.5" customHeight="1">
      <c r="A12" s="12">
        <v>150.0</v>
      </c>
      <c r="B12" s="10" t="s">
        <v>17</v>
      </c>
      <c r="C12" s="15">
        <v>45783.0</v>
      </c>
      <c r="D12" s="16"/>
      <c r="E12" s="13">
        <v>2025.0</v>
      </c>
      <c r="F12" s="10" t="s">
        <v>13</v>
      </c>
    </row>
    <row r="13" ht="22.5" customHeight="1">
      <c r="A13" s="12">
        <v>3000.0</v>
      </c>
      <c r="B13" s="10" t="s">
        <v>17</v>
      </c>
      <c r="C13" s="15">
        <v>45790.0</v>
      </c>
      <c r="D13" s="16"/>
      <c r="E13" s="13">
        <v>2025.0</v>
      </c>
      <c r="F13" s="10" t="s">
        <v>13</v>
      </c>
    </row>
    <row r="14" ht="22.5" customHeight="1">
      <c r="A14" s="12">
        <v>19.0</v>
      </c>
      <c r="B14" s="10" t="s">
        <v>17</v>
      </c>
      <c r="C14" s="14">
        <v>45797.0</v>
      </c>
      <c r="D14" s="16"/>
      <c r="E14" s="13">
        <v>2025.0</v>
      </c>
      <c r="F14" s="10" t="s">
        <v>13</v>
      </c>
    </row>
    <row r="15" ht="22.5" customHeight="1">
      <c r="A15" s="12">
        <v>600.0</v>
      </c>
      <c r="B15" s="10" t="s">
        <v>17</v>
      </c>
      <c r="C15" s="14">
        <v>45798.0</v>
      </c>
      <c r="D15" s="16"/>
      <c r="E15" s="13">
        <v>2025.0</v>
      </c>
      <c r="F15" s="10" t="s">
        <v>13</v>
      </c>
    </row>
    <row r="16" ht="22.5" customHeight="1">
      <c r="A16" s="12">
        <v>133.0</v>
      </c>
      <c r="B16" s="10" t="s">
        <v>17</v>
      </c>
      <c r="C16" s="14">
        <v>45800.0</v>
      </c>
      <c r="D16" s="13"/>
      <c r="E16" s="13">
        <v>2025.0</v>
      </c>
      <c r="F16" s="10" t="s">
        <v>13</v>
      </c>
    </row>
    <row r="17" ht="22.5" customHeight="1">
      <c r="A17" s="12">
        <v>133.0</v>
      </c>
      <c r="B17" s="10" t="s">
        <v>19</v>
      </c>
      <c r="C17" s="14">
        <v>45815.0</v>
      </c>
      <c r="D17" s="13" t="s">
        <v>20</v>
      </c>
      <c r="E17" s="13">
        <v>2025.0</v>
      </c>
      <c r="F17" s="10" t="s">
        <v>11</v>
      </c>
    </row>
    <row r="18" ht="22.5" customHeight="1">
      <c r="A18" s="12">
        <v>500.0</v>
      </c>
      <c r="B18" s="10" t="s">
        <v>19</v>
      </c>
      <c r="C18" s="14">
        <v>45835.0</v>
      </c>
      <c r="D18" s="13"/>
      <c r="E18" s="13">
        <v>2025.0</v>
      </c>
      <c r="F18" s="10" t="s">
        <v>11</v>
      </c>
    </row>
    <row r="19" ht="22.5" customHeight="1">
      <c r="A19" s="12">
        <v>85.0</v>
      </c>
      <c r="B19" s="10" t="s">
        <v>21</v>
      </c>
      <c r="C19" s="14">
        <v>45869.0</v>
      </c>
      <c r="D19" s="13"/>
      <c r="E19" s="13">
        <v>2025.0</v>
      </c>
      <c r="F19" s="10" t="s">
        <v>13</v>
      </c>
    </row>
  </sheetData>
  <dataValidations>
    <dataValidation type="list" allowBlank="1" sqref="F2:F19">
      <formula1>"PERSONALIZADO,CARTERA,POR COMISIONES,Retirada"</formula1>
    </dataValidation>
    <dataValidation type="custom" allowBlank="1" showDropDown="1" sqref="A2:A19">
      <formula1>AND(ISNUMBER(A2),(NOT(OR(NOT(ISERROR(DATEVALUE(A2))), AND(ISNUMBER(A2), LEFT(CELL("format", A2))="D")))))</formula1>
    </dataValidation>
    <dataValidation type="list" allowBlank="1" sqref="B2:B19">
      <formula1>"ENERO,FEBRERO,MARZO,ABRIL,MAYO,JUNIO,JULIO,AGOSTO,SEPTIEMBRE,OCTUBRE,NOVIEMBRE,DICIEMBRE"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6.88"/>
  </cols>
  <sheetData>
    <row r="1" ht="22.5" customHeight="1">
      <c r="A1" s="17" t="s">
        <v>22</v>
      </c>
      <c r="B1" s="17" t="s">
        <v>23</v>
      </c>
    </row>
    <row r="2" ht="22.5" customHeight="1">
      <c r="A2" s="8">
        <v>45688.0</v>
      </c>
      <c r="B2" s="18">
        <v>150.06</v>
      </c>
    </row>
    <row r="3" ht="22.5" customHeight="1">
      <c r="A3" s="8">
        <v>45716.0</v>
      </c>
      <c r="B3" s="19">
        <v>151.0</v>
      </c>
    </row>
    <row r="4" ht="22.5" customHeight="1">
      <c r="A4" s="8">
        <v>45747.0</v>
      </c>
      <c r="B4" s="19">
        <v>173.98</v>
      </c>
    </row>
    <row r="5" ht="22.5" customHeight="1">
      <c r="A5" s="8">
        <v>45777.0</v>
      </c>
      <c r="B5" s="19">
        <v>402.8</v>
      </c>
    </row>
    <row r="6" ht="22.5" customHeight="1">
      <c r="A6" s="8">
        <v>45808.0</v>
      </c>
      <c r="B6" s="19">
        <v>4411.77</v>
      </c>
    </row>
    <row r="7" ht="22.5" customHeight="1">
      <c r="A7" s="8">
        <v>45838.0</v>
      </c>
      <c r="B7" s="19">
        <v>5071.2</v>
      </c>
      <c r="D7" s="5" t="s">
        <v>24</v>
      </c>
    </row>
    <row r="8" ht="22.5" customHeight="1">
      <c r="A8" s="8">
        <v>45869.0</v>
      </c>
      <c r="B8" s="19">
        <v>5193.56</v>
      </c>
    </row>
    <row r="9" ht="22.5" customHeight="1">
      <c r="A9" s="8">
        <v>45900.0</v>
      </c>
      <c r="B9" s="19">
        <v>5235.34</v>
      </c>
    </row>
    <row r="10" ht="22.5" customHeight="1">
      <c r="A10" s="8">
        <v>45930.0</v>
      </c>
      <c r="B10" s="19">
        <v>5258.92</v>
      </c>
    </row>
    <row r="11" ht="22.5" customHeight="1">
      <c r="A11" s="8">
        <v>45961.0</v>
      </c>
      <c r="B11" s="19">
        <v>5277.59</v>
      </c>
      <c r="D11" s="20"/>
    </row>
    <row r="12" ht="22.5" customHeight="1">
      <c r="A12" s="8">
        <v>45991.0</v>
      </c>
      <c r="B12" s="19">
        <v>5366.71</v>
      </c>
    </row>
    <row r="13" ht="22.5" customHeight="1">
      <c r="A13" s="8">
        <v>46022.0</v>
      </c>
      <c r="B13" s="19">
        <v>5410.49</v>
      </c>
    </row>
    <row r="14" ht="22.5" customHeight="1">
      <c r="A14" s="8">
        <v>46053.0</v>
      </c>
      <c r="B14" s="19">
        <v>5454.51</v>
      </c>
    </row>
    <row r="15" ht="22.5" customHeight="1">
      <c r="A15" s="14">
        <v>46081.0</v>
      </c>
      <c r="B15" s="19">
        <v>5492.13</v>
      </c>
    </row>
    <row r="16" ht="22.5" customHeight="1">
      <c r="A16" s="14">
        <v>46112.0</v>
      </c>
      <c r="B16" s="19">
        <v>5533.46</v>
      </c>
    </row>
    <row r="17" ht="22.5" customHeight="1">
      <c r="A17" s="14">
        <v>46142.0</v>
      </c>
      <c r="B17" s="19">
        <v>5574.33</v>
      </c>
    </row>
    <row r="18" ht="22.5" customHeight="1">
      <c r="A18" s="14">
        <v>46173.0</v>
      </c>
      <c r="B18" s="19">
        <v>5611.78</v>
      </c>
    </row>
    <row r="19" ht="22.5" customHeight="1">
      <c r="A19" s="14">
        <v>46203.0</v>
      </c>
      <c r="B19" s="19">
        <v>5652.23</v>
      </c>
    </row>
  </sheetData>
  <dataValidations>
    <dataValidation type="custom" allowBlank="1" showDropDown="1" sqref="A2:A19">
      <formula1>OR(NOT(ISERROR(DATEVALUE(A2))), AND(ISNUMBER(A2), LEFT(CELL("format", A2))="D"))</formula1>
    </dataValidation>
    <dataValidation type="custom" allowBlank="1" showDropDown="1" sqref="B2:B1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18.0"/>
    <col customWidth="1" min="3" max="3" width="22.13"/>
    <col customWidth="1" min="4" max="4" width="25.38"/>
    <col customWidth="1" min="5" max="5" width="23.5"/>
    <col customWidth="1" min="6" max="6" width="19.75"/>
    <col customWidth="1" min="7" max="7" width="30.63"/>
    <col customWidth="1" min="8" max="8" width="28.38"/>
    <col customWidth="1" min="9" max="9" width="41.75"/>
  </cols>
  <sheetData>
    <row r="1" ht="22.5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2" t="s">
        <v>31</v>
      </c>
      <c r="H1" s="1" t="s">
        <v>32</v>
      </c>
      <c r="I1" s="1" t="s">
        <v>33</v>
      </c>
    </row>
    <row r="2" ht="22.5" customHeight="1">
      <c r="A2" s="8">
        <v>45671.0</v>
      </c>
      <c r="B2" s="21" t="s">
        <v>34</v>
      </c>
      <c r="C2" s="7" t="s">
        <v>35</v>
      </c>
      <c r="D2" s="6">
        <v>50.0</v>
      </c>
      <c r="E2" s="22">
        <v>0.12</v>
      </c>
      <c r="F2" s="7" t="s">
        <v>36</v>
      </c>
      <c r="G2" s="8">
        <v>46000.0</v>
      </c>
      <c r="H2" s="9">
        <v>26.21</v>
      </c>
    </row>
    <row r="3" ht="22.5" customHeight="1">
      <c r="A3" s="8">
        <v>45779.0</v>
      </c>
      <c r="B3" s="21" t="s">
        <v>37</v>
      </c>
      <c r="C3" s="7" t="s">
        <v>38</v>
      </c>
      <c r="D3" s="6">
        <v>50.0</v>
      </c>
      <c r="E3" s="23">
        <v>0.141</v>
      </c>
      <c r="F3" s="7" t="s">
        <v>36</v>
      </c>
      <c r="G3" s="24">
        <v>45810.0</v>
      </c>
      <c r="H3" s="9">
        <v>13.1</v>
      </c>
    </row>
    <row r="4" ht="22.5" customHeight="1">
      <c r="A4" s="14">
        <v>45836.0</v>
      </c>
      <c r="B4" s="25" t="s">
        <v>39</v>
      </c>
      <c r="C4" s="10" t="s">
        <v>40</v>
      </c>
      <c r="D4" s="12">
        <v>50.0</v>
      </c>
      <c r="E4" s="26">
        <v>0.12</v>
      </c>
      <c r="F4" s="7" t="s">
        <v>36</v>
      </c>
      <c r="G4" s="14">
        <v>46102.0</v>
      </c>
      <c r="H4" s="16"/>
      <c r="I4" s="16"/>
    </row>
    <row r="5" ht="22.5" customHeight="1">
      <c r="A5" s="14">
        <v>45838.0</v>
      </c>
      <c r="B5" s="25" t="s">
        <v>41</v>
      </c>
      <c r="C5" s="10" t="s">
        <v>38</v>
      </c>
      <c r="D5" s="12">
        <v>50.0</v>
      </c>
      <c r="E5" s="13">
        <v>14.1</v>
      </c>
      <c r="F5" s="7" t="s">
        <v>36</v>
      </c>
      <c r="G5" s="27">
        <v>45857.0</v>
      </c>
      <c r="H5" s="16"/>
      <c r="I5" s="16"/>
    </row>
    <row r="6" ht="22.5" customHeight="1">
      <c r="A6" s="14">
        <v>45840.0</v>
      </c>
      <c r="B6" s="25" t="s">
        <v>42</v>
      </c>
      <c r="C6" s="10" t="s">
        <v>38</v>
      </c>
      <c r="D6" s="12">
        <v>50.0</v>
      </c>
      <c r="E6" s="13">
        <v>14.11</v>
      </c>
      <c r="F6" s="7" t="s">
        <v>36</v>
      </c>
      <c r="G6" s="28">
        <v>45860.0</v>
      </c>
      <c r="H6" s="16"/>
      <c r="I6" s="16"/>
    </row>
    <row r="7" ht="22.5" customHeight="1">
      <c r="A7" s="14">
        <v>45843.0</v>
      </c>
      <c r="B7" s="25" t="s">
        <v>43</v>
      </c>
      <c r="C7" s="10" t="s">
        <v>40</v>
      </c>
      <c r="D7" s="12">
        <v>50.0</v>
      </c>
      <c r="E7" s="13">
        <v>12.0</v>
      </c>
      <c r="F7" s="7" t="s">
        <v>36</v>
      </c>
      <c r="G7" s="14">
        <v>46124.0</v>
      </c>
      <c r="H7" s="16"/>
      <c r="I7" s="16"/>
    </row>
    <row r="8" ht="22.5" customHeight="1">
      <c r="A8" s="14">
        <v>45853.0</v>
      </c>
      <c r="B8" s="25" t="s">
        <v>44</v>
      </c>
      <c r="C8" s="10" t="s">
        <v>38</v>
      </c>
      <c r="D8" s="12">
        <v>50.0</v>
      </c>
      <c r="E8" s="13">
        <v>13.1</v>
      </c>
      <c r="F8" s="7" t="s">
        <v>36</v>
      </c>
      <c r="G8" s="16"/>
      <c r="H8" s="16"/>
      <c r="I8" s="16"/>
      <c r="Z8" s="5" t="s">
        <v>45</v>
      </c>
    </row>
    <row r="9" ht="22.5" customHeight="1">
      <c r="A9" s="14">
        <v>45854.0</v>
      </c>
      <c r="B9" s="25" t="s">
        <v>46</v>
      </c>
      <c r="C9" s="10" t="s">
        <v>38</v>
      </c>
      <c r="D9" s="12">
        <v>50.0</v>
      </c>
      <c r="E9" s="13">
        <v>12.6</v>
      </c>
      <c r="F9" s="10" t="s">
        <v>36</v>
      </c>
      <c r="G9" s="16"/>
      <c r="H9" s="16"/>
      <c r="I9" s="16"/>
    </row>
    <row r="10" ht="22.5" customHeight="1">
      <c r="A10" s="14">
        <v>45916.0</v>
      </c>
      <c r="B10" s="25" t="s">
        <v>47</v>
      </c>
      <c r="C10" s="10" t="s">
        <v>40</v>
      </c>
      <c r="D10" s="12">
        <v>50.0</v>
      </c>
      <c r="E10" s="13">
        <v>11.0</v>
      </c>
      <c r="F10" s="10" t="s">
        <v>36</v>
      </c>
      <c r="G10" s="16"/>
      <c r="H10" s="16"/>
      <c r="I10" s="16"/>
    </row>
    <row r="11" ht="22.5" customHeight="1">
      <c r="A11" s="14">
        <v>45925.0</v>
      </c>
      <c r="B11" s="25" t="s">
        <v>48</v>
      </c>
      <c r="C11" s="10" t="s">
        <v>40</v>
      </c>
      <c r="D11" s="12">
        <v>50.0</v>
      </c>
      <c r="E11" s="13">
        <v>11.5</v>
      </c>
      <c r="F11" s="10" t="s">
        <v>36</v>
      </c>
      <c r="G11" s="16"/>
      <c r="H11" s="16"/>
      <c r="I11" s="16"/>
    </row>
    <row r="12" ht="22.5" customHeight="1">
      <c r="A12" s="13"/>
      <c r="B12" s="29"/>
      <c r="C12" s="10"/>
      <c r="D12" s="12"/>
      <c r="E12" s="13"/>
      <c r="F12" s="10"/>
      <c r="G12" s="16"/>
      <c r="H12" s="16"/>
      <c r="I12" s="16"/>
    </row>
  </sheetData>
  <dataValidations>
    <dataValidation type="list" allowBlank="1" showErrorMessage="1" sqref="F2:F12">
      <formula1>"ACTIVO,EN DEMORA,CANCELADO"</formula1>
    </dataValidation>
    <dataValidation type="list" allowBlank="1" sqref="C2:C12">
      <formula1>"EE: Estonia,KZ: Kazakhstan,España"</formula1>
    </dataValidation>
    <dataValidation type="custom" allowBlank="1" showDropDown="1" sqref="D2:D12">
      <formula1>AND(ISNUMBER(D2),(NOT(OR(NOT(ISERROR(DATEVALUE(D2))), AND(ISNUMBER(D2), LEFT(CELL("format", D2))="D")))))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  <tableParts count="1">
    <tablePart r:id="rId13"/>
  </tableParts>
</worksheet>
</file>