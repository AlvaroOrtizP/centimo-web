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  <sheet state="visible" name="Posiciones cerrada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tc={2c282bd9-ff74-4282-b37d-8f12852a5735}</author>
  </authors>
  <commentList>
    <comment authorId="0" ref="I1">
      <text>
        <t xml:space="preserve">NO TOCAR</t>
      </text>
    </comment>
    <comment authorId="1" xr:uid="{2c282bd9-ff74-4282-b37d-8f12852a5735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TOCAR
</t>
      </text>
    </comment>
  </commentList>
</comments>
</file>

<file path=xl/sharedStrings.xml><?xml version="1.0" encoding="utf-8"?>
<sst xmlns="http://schemas.openxmlformats.org/spreadsheetml/2006/main" count="808" uniqueCount="380">
  <si>
    <t>ID</t>
  </si>
  <si>
    <t>Ticker</t>
  </si>
  <si>
    <t>PRECIO COMPRA</t>
  </si>
  <si>
    <t>PRECIO VENTA</t>
  </si>
  <si>
    <t>Fecha Abrir</t>
  </si>
  <si>
    <t>Fecha Cerrar</t>
  </si>
  <si>
    <t>Beneficio ($)</t>
  </si>
  <si>
    <t>ROI %</t>
  </si>
  <si>
    <t>Cambio apertura</t>
  </si>
  <si>
    <t>Cambio de cierre</t>
  </si>
  <si>
    <t>Compra</t>
  </si>
  <si>
    <t>Venta</t>
  </si>
  <si>
    <t>ETORO</t>
  </si>
  <si>
    <t>Ero Copper Corp (ERO)</t>
  </si>
  <si>
    <t>Acciones BBA</t>
  </si>
  <si>
    <t>Importe bruto</t>
  </si>
  <si>
    <t>Retencion 19%</t>
  </si>
  <si>
    <t>Neto parcial</t>
  </si>
  <si>
    <t>Comision custodia</t>
  </si>
  <si>
    <t>Ondas Inc (ONDS)</t>
  </si>
  <si>
    <t>BBVA</t>
  </si>
  <si>
    <t>Intuitive Machines Inc (LUNR)</t>
  </si>
  <si>
    <t>Viking Holdings Ltd (VIK)</t>
  </si>
  <si>
    <t>MongoDB Inc (MDB)</t>
  </si>
  <si>
    <t>Crowdstrike Holdings (CRWD)</t>
  </si>
  <si>
    <t>Cloudflare (NET)</t>
  </si>
  <si>
    <t>Roku Inc (ROKU)</t>
  </si>
  <si>
    <t>Celsius Holdings Inc. (CELH)</t>
  </si>
  <si>
    <t>Beyond Meat Inc. (BYND)</t>
  </si>
  <si>
    <t>CoreWeave Inc (CRWV)</t>
  </si>
  <si>
    <t>Palo Alto Networks (PANW)</t>
  </si>
  <si>
    <t>Marathon Digital Holdings Inc. (MARA)</t>
  </si>
  <si>
    <t>AbCellera Biologics Inc. (ABCL)</t>
  </si>
  <si>
    <t>Taiwan Semiconductor Manufacturing Co Ltd - ADR (TSM)</t>
  </si>
  <si>
    <t>Repsol (REP.MC)</t>
  </si>
  <si>
    <t>Soundhound Ai Inc-A (SOUN)</t>
  </si>
  <si>
    <t>Amphenol Corporation (APH)</t>
  </si>
  <si>
    <t>Sea Ltd-ADR (SE)</t>
  </si>
  <si>
    <t>SoFi Technologies Inc (SOFI)</t>
  </si>
  <si>
    <t>Applovin Corp (APP)</t>
  </si>
  <si>
    <t>Rocket Lab Corp (RKLB)</t>
  </si>
  <si>
    <t>Meta Platforms Inc (META)</t>
  </si>
  <si>
    <t>IHS Holding (IHS)</t>
  </si>
  <si>
    <t>Toast Inc. (TOST)</t>
  </si>
  <si>
    <t>Sportradar Group AG (SRAD)</t>
  </si>
  <si>
    <t>Take Two Interactive Software Inc (TTWO)</t>
  </si>
  <si>
    <t>Spotify Technologies SA (SPOT)</t>
  </si>
  <si>
    <t>Iberdrola (IBE)</t>
  </si>
  <si>
    <t>AST SpaceMobile Inc (ASTS)</t>
  </si>
  <si>
    <t>Grindr Inc. (GRND)</t>
  </si>
  <si>
    <t>Avepoint Inc (AVPT)</t>
  </si>
  <si>
    <t>McDonald's (MCD)</t>
  </si>
  <si>
    <t>NIKE (NKE)</t>
  </si>
  <si>
    <t>Shopify Inc. (SHOP)</t>
  </si>
  <si>
    <t>Pernod-Ricard SA (RI)</t>
  </si>
  <si>
    <t>GE Vernova LLC (GEV)</t>
  </si>
  <si>
    <t>LVMH Moet Hennessy Louis Vuitton SA (MC.PA)</t>
  </si>
  <si>
    <t>Credo Technology Group Holding Ltd (CRDO)</t>
  </si>
  <si>
    <t>Ubisoft Entertainment SA (UBI.PA)</t>
  </si>
  <si>
    <t>Stellantis NV (STLA.US)</t>
  </si>
  <si>
    <t>DEGIRO</t>
  </si>
  <si>
    <t>ON</t>
  </si>
  <si>
    <t>115,49</t>
  </si>
  <si>
    <t>-4,88</t>
  </si>
  <si>
    <t>-4,23%</t>
  </si>
  <si>
    <t>RKLB</t>
  </si>
  <si>
    <t>58,30</t>
  </si>
  <si>
    <t>-7,66</t>
  </si>
  <si>
    <t>-13,14%</t>
  </si>
  <si>
    <t>KVYO</t>
  </si>
  <si>
    <t>43,61</t>
  </si>
  <si>
    <t>-0,71</t>
  </si>
  <si>
    <t>-1,63%</t>
  </si>
  <si>
    <t xml:space="preserve"> </t>
  </si>
  <si>
    <t>Acción</t>
  </si>
  <si>
    <t>Long / Short</t>
  </si>
  <si>
    <t>Importe</t>
  </si>
  <si>
    <t>Unidades</t>
  </si>
  <si>
    <t>Fecha de apertura</t>
  </si>
  <si>
    <t>Fecha de cierre</t>
  </si>
  <si>
    <t>Apalancamiento</t>
  </si>
  <si>
    <t>Comisiones de diferencial (USD)</t>
  </si>
  <si>
    <t>Diferencial de mercado (USD)</t>
  </si>
  <si>
    <t>Ganancias (USD)</t>
  </si>
  <si>
    <t>Ganancias (EUR)</t>
  </si>
  <si>
    <t>Tipo de cambio de apertura (USD)</t>
  </si>
  <si>
    <t>Tipo de cambio al cierre (USD)</t>
  </si>
  <si>
    <t>Tasa de apertura</t>
  </si>
  <si>
    <t>Tasa de cierre</t>
  </si>
  <si>
    <t>Tasa de Take Profit</t>
  </si>
  <si>
    <t>Tasa de Stop Loss</t>
  </si>
  <si>
    <t>Comisiones nocturnas y dividendos</t>
  </si>
  <si>
    <t>Copiado desde</t>
  </si>
  <si>
    <t>Tipo</t>
  </si>
  <si>
    <t>ISIN</t>
  </si>
  <si>
    <t>Notas</t>
  </si>
  <si>
    <t>3211679167</t>
  </si>
  <si>
    <t>Long</t>
  </si>
  <si>
    <t>31.875993</t>
  </si>
  <si>
    <t>28/11/2025 15:33:55</t>
  </si>
  <si>
    <t>31/12/2025 17:23:27</t>
  </si>
  <si>
    <t>1</t>
  </si>
  <si>
    <t>-1.91</t>
  </si>
  <si>
    <t>-</t>
  </si>
  <si>
    <t>Acciones</t>
  </si>
  <si>
    <t>CA2960061091</t>
  </si>
  <si>
    <t/>
  </si>
  <si>
    <t>3233514799</t>
  </si>
  <si>
    <t>56.6058</t>
  </si>
  <si>
    <t>22/12/2025 17:58:33</t>
  </si>
  <si>
    <t>23/12/2025 19:45:51</t>
  </si>
  <si>
    <t>-0.57</t>
  </si>
  <si>
    <t>US68236H2040</t>
  </si>
  <si>
    <t>3233072235</t>
  </si>
  <si>
    <t>33.22151</t>
  </si>
  <si>
    <t>22/12/2025 15:06:54</t>
  </si>
  <si>
    <t>22/12/2025 16:53:18</t>
  </si>
  <si>
    <t>-0.50</t>
  </si>
  <si>
    <t>US46125A1007</t>
  </si>
  <si>
    <t>3209809358</t>
  </si>
  <si>
    <t>8.965929</t>
  </si>
  <si>
    <t>26/11/2025 19:15:02</t>
  </si>
  <si>
    <t>18/12/2025 15:22:16</t>
  </si>
  <si>
    <t>-1.12</t>
  </si>
  <si>
    <t>BMG93A5A1010</t>
  </si>
  <si>
    <t>3181484187</t>
  </si>
  <si>
    <t>2.028748</t>
  </si>
  <si>
    <t>30/10/2025 16:51:18</t>
  </si>
  <si>
    <t>21/11/2025 14:46:12</t>
  </si>
  <si>
    <t>US60937P1066</t>
  </si>
  <si>
    <t>3177541083</t>
  </si>
  <si>
    <t>1.498618</t>
  </si>
  <si>
    <t>27/10/2025 16:14:54</t>
  </si>
  <si>
    <t>20/11/2025 23:09:59</t>
  </si>
  <si>
    <t>-0.32</t>
  </si>
  <si>
    <t>US22788C1053</t>
  </si>
  <si>
    <t>3195451356</t>
  </si>
  <si>
    <t>3.446561</t>
  </si>
  <si>
    <t>10/11/2025 17:00:08</t>
  </si>
  <si>
    <t>13/11/2025 14:30:21</t>
  </si>
  <si>
    <t>-8.88</t>
  </si>
  <si>
    <t>US18915M1071</t>
  </si>
  <si>
    <t>3184021042</t>
  </si>
  <si>
    <t>8.237181</t>
  </si>
  <si>
    <t>31/10/2025 19:29:27</t>
  </si>
  <si>
    <t>07/11/2025 14:37:42</t>
  </si>
  <si>
    <t>-0.83</t>
  </si>
  <si>
    <t>US77543R1023</t>
  </si>
  <si>
    <t>3171067001</t>
  </si>
  <si>
    <t>14.980128</t>
  </si>
  <si>
    <t>20/10/2025 17:50:08</t>
  </si>
  <si>
    <t>31/10/2025 17:06:41</t>
  </si>
  <si>
    <t>US15118V2079</t>
  </si>
  <si>
    <t>3173394585</t>
  </si>
  <si>
    <t>70.126227</t>
  </si>
  <si>
    <t>22/10/2025 14:28:18</t>
  </si>
  <si>
    <t>22/10/2025 15:04:10</t>
  </si>
  <si>
    <t>-2.11</t>
  </si>
  <si>
    <t>US08862E1091</t>
  </si>
  <si>
    <t>3173361627</t>
  </si>
  <si>
    <t>52.748885</t>
  </si>
  <si>
    <t>22/10/2025 14:18:27</t>
  </si>
  <si>
    <t>22/10/2025 14:26:59</t>
  </si>
  <si>
    <t>-1.06</t>
  </si>
  <si>
    <t>3173171636</t>
  </si>
  <si>
    <t>175.17338</t>
  </si>
  <si>
    <t>22/10/2025 13:33:40</t>
  </si>
  <si>
    <t>22/10/2025 14:07:41</t>
  </si>
  <si>
    <t>-1.75</t>
  </si>
  <si>
    <t>3156141894</t>
  </si>
  <si>
    <t>7.139797</t>
  </si>
  <si>
    <t>09/10/2025 14:00:19</t>
  </si>
  <si>
    <t>17/10/2025 15:21:32</t>
  </si>
  <si>
    <t>-1.46</t>
  </si>
  <si>
    <t>US21873S1087</t>
  </si>
  <si>
    <t>3156657919</t>
  </si>
  <si>
    <t>4.641448</t>
  </si>
  <si>
    <t>09/10/2025 17:29:36</t>
  </si>
  <si>
    <t>15/10/2025 18:19:40</t>
  </si>
  <si>
    <t>-0.68</t>
  </si>
  <si>
    <t>US6974351057</t>
  </si>
  <si>
    <t>3161567653</t>
  </si>
  <si>
    <t>28.72602</t>
  </si>
  <si>
    <t>13/10/2025 16:46:00</t>
  </si>
  <si>
    <t>14/10/2025 15:47:57</t>
  </si>
  <si>
    <t>-0.29</t>
  </si>
  <si>
    <t>US5657881067</t>
  </si>
  <si>
    <t>3145479234</t>
  </si>
  <si>
    <t>89.445438</t>
  </si>
  <si>
    <t>01/10/2025 13:51:17</t>
  </si>
  <si>
    <t>09/10/2025 14:36:49</t>
  </si>
  <si>
    <t>-0.89</t>
  </si>
  <si>
    <t>CA00288U1066</t>
  </si>
  <si>
    <t>3122176403</t>
  </si>
  <si>
    <t>3.429517</t>
  </si>
  <si>
    <t>09/09/2025 16:50:35</t>
  </si>
  <si>
    <t>08/10/2025 19:13:52</t>
  </si>
  <si>
    <t>-0.16</t>
  </si>
  <si>
    <t>US8740391003</t>
  </si>
  <si>
    <t>2816792990</t>
  </si>
  <si>
    <t>0.759699</t>
  </si>
  <si>
    <t>27/09/2024 10:20:25</t>
  </si>
  <si>
    <t>29/09/2025 07:00:27</t>
  </si>
  <si>
    <t>-0.15</t>
  </si>
  <si>
    <t>1.1160</t>
  </si>
  <si>
    <t>1.1720</t>
  </si>
  <si>
    <t>ES0173516115</t>
  </si>
  <si>
    <t>3132105338</t>
  </si>
  <si>
    <t>42.098609</t>
  </si>
  <si>
    <t>18/09/2025 18:19:08</t>
  </si>
  <si>
    <t>25/09/2025 13:38:19</t>
  </si>
  <si>
    <t>-0.42</t>
  </si>
  <si>
    <t>US8361001071</t>
  </si>
  <si>
    <t>3125252462</t>
  </si>
  <si>
    <t>4.879892</t>
  </si>
  <si>
    <t>11/09/2025 18:11:42</t>
  </si>
  <si>
    <t>25/09/2025 13:30:36</t>
  </si>
  <si>
    <t>-1.00</t>
  </si>
  <si>
    <t>US0320951017</t>
  </si>
  <si>
    <t>3101270848</t>
  </si>
  <si>
    <t>3.593741</t>
  </si>
  <si>
    <t>13/08/2025 13:54:47</t>
  </si>
  <si>
    <t>17/09/2025 15:05:57</t>
  </si>
  <si>
    <t>-0.81</t>
  </si>
  <si>
    <t>US81141R1005</t>
  </si>
  <si>
    <t>3108665791</t>
  </si>
  <si>
    <t>35.43375</t>
  </si>
  <si>
    <t>21/08/2025 17:47:28</t>
  </si>
  <si>
    <t>27/08/2025 20:24:54</t>
  </si>
  <si>
    <t>-1.24</t>
  </si>
  <si>
    <t>US83406F1021</t>
  </si>
  <si>
    <t>3103597982</t>
  </si>
  <si>
    <t>1.164179</t>
  </si>
  <si>
    <t>15/08/2025 15:57:20</t>
  </si>
  <si>
    <t>19/08/2025 14:37:53</t>
  </si>
  <si>
    <t>-0.61</t>
  </si>
  <si>
    <t>US03831W1080</t>
  </si>
  <si>
    <t>3105128456</t>
  </si>
  <si>
    <t>8.105218</t>
  </si>
  <si>
    <t>18/08/2025 15:06:54</t>
  </si>
  <si>
    <t>19/08/2025 13:50:01</t>
  </si>
  <si>
    <t>US7731211089</t>
  </si>
  <si>
    <t>3032662556</t>
  </si>
  <si>
    <t>0.494614</t>
  </si>
  <si>
    <t>02/06/2025 19:59:19</t>
  </si>
  <si>
    <t>18/08/2025 13:30:33</t>
  </si>
  <si>
    <t>-0.10</t>
  </si>
  <si>
    <t>US30303M1027</t>
  </si>
  <si>
    <t>3087382470</t>
  </si>
  <si>
    <t>70.866141</t>
  </si>
  <si>
    <t>30/07/2025 18:57:38</t>
  </si>
  <si>
    <t>05/08/2025 14:44:58</t>
  </si>
  <si>
    <t>-1.42</t>
  </si>
  <si>
    <t>KYG4701H1092</t>
  </si>
  <si>
    <t>3081384388</t>
  </si>
  <si>
    <t>12.733446</t>
  </si>
  <si>
    <t>23/07/2025 15:54:07</t>
  </si>
  <si>
    <t>01/08/2025 13:30:07</t>
  </si>
  <si>
    <t>-2.36</t>
  </si>
  <si>
    <t>US8887871080</t>
  </si>
  <si>
    <t>3020984507</t>
  </si>
  <si>
    <t>22.465531</t>
  </si>
  <si>
    <t>16/05/2025 13:55:01</t>
  </si>
  <si>
    <t>23/07/2025 13:30:04</t>
  </si>
  <si>
    <t>-2.03</t>
  </si>
  <si>
    <t>CH1134239669</t>
  </si>
  <si>
    <t>3019318113</t>
  </si>
  <si>
    <t>12.386457</t>
  </si>
  <si>
    <t>14/05/2025 18:57:54</t>
  </si>
  <si>
    <t>30/05/2025 13:30:05</t>
  </si>
  <si>
    <t>-1.30</t>
  </si>
  <si>
    <t>3002156860</t>
  </si>
  <si>
    <t>1.652115</t>
  </si>
  <si>
    <t>24/04/2025 17:08:39</t>
  </si>
  <si>
    <t>14/05/2025 15:44:29</t>
  </si>
  <si>
    <t>-0.12</t>
  </si>
  <si>
    <t>US8740541094</t>
  </si>
  <si>
    <t>3006772275</t>
  </si>
  <si>
    <t>0.780051</t>
  </si>
  <si>
    <t>01/05/2025 14:50:43</t>
  </si>
  <si>
    <t>12/05/2025 13:30:29</t>
  </si>
  <si>
    <t>-4.28</t>
  </si>
  <si>
    <t>LU1778762911</t>
  </si>
  <si>
    <t>2995940011</t>
  </si>
  <si>
    <t>13.3547</t>
  </si>
  <si>
    <t>11/04/2025 19:35:20</t>
  </si>
  <si>
    <t>28/04/2025 17:28:13</t>
  </si>
  <si>
    <t>-0.27</t>
  </si>
  <si>
    <t>2975305267</t>
  </si>
  <si>
    <t>35.231802</t>
  </si>
  <si>
    <t>24/03/2025 08:00:22</t>
  </si>
  <si>
    <t>07/04/2025 07:00:38</t>
  </si>
  <si>
    <t>-0.78</t>
  </si>
  <si>
    <t>1.0841</t>
  </si>
  <si>
    <t>1.1003</t>
  </si>
  <si>
    <t>ES0144580Y14</t>
  </si>
  <si>
    <t>2961464108</t>
  </si>
  <si>
    <t>11.74743</t>
  </si>
  <si>
    <t>05/03/2025 20:48:42</t>
  </si>
  <si>
    <t>06/03/2025 19:23:50</t>
  </si>
  <si>
    <t>-0.35</t>
  </si>
  <si>
    <t>US00217D1000</t>
  </si>
  <si>
    <t>2930593567</t>
  </si>
  <si>
    <t>0.466916</t>
  </si>
  <si>
    <t>31/01/2025 20:03:47</t>
  </si>
  <si>
    <t>24/02/2025 14:32:08</t>
  </si>
  <si>
    <t>-0.80</t>
  </si>
  <si>
    <t>2941939488</t>
  </si>
  <si>
    <t>6.458557</t>
  </si>
  <si>
    <t>13/02/2025 20:05:46</t>
  </si>
  <si>
    <t>21/02/2025 20:30:21</t>
  </si>
  <si>
    <t>-0.06</t>
  </si>
  <si>
    <t>US39854F1012</t>
  </si>
  <si>
    <t>2941930431</t>
  </si>
  <si>
    <t>20.31488</t>
  </si>
  <si>
    <t>13/02/2025 19:55:35</t>
  </si>
  <si>
    <t>20/02/2025 14:35:31</t>
  </si>
  <si>
    <t>US0536041041</t>
  </si>
  <si>
    <t>2936093762</t>
  </si>
  <si>
    <t>11.214953</t>
  </si>
  <si>
    <t>06/02/2025 14:53:37</t>
  </si>
  <si>
    <t>10/02/2025 15:41:11</t>
  </si>
  <si>
    <t>-0.90</t>
  </si>
  <si>
    <t>2837773220</t>
  </si>
  <si>
    <t>0.068129</t>
  </si>
  <si>
    <t>23/10/2024 13:57:50</t>
  </si>
  <si>
    <t>07/02/2025 20:56:37</t>
  </si>
  <si>
    <t>0.00</t>
  </si>
  <si>
    <t>US5801351017</t>
  </si>
  <si>
    <t>2870116758</t>
  </si>
  <si>
    <t>0.675699</t>
  </si>
  <si>
    <t>02/12/2024 14:30:18</t>
  </si>
  <si>
    <t>06/02/2025 19:10:54</t>
  </si>
  <si>
    <t>-0.01</t>
  </si>
  <si>
    <t>US6541061031</t>
  </si>
  <si>
    <t>2927342566</t>
  </si>
  <si>
    <t>0.693541</t>
  </si>
  <si>
    <t>28/01/2025 15:16:50</t>
  </si>
  <si>
    <t>06/02/2025 15:26:53</t>
  </si>
  <si>
    <t>CA82509L1076</t>
  </si>
  <si>
    <t>2878278426</t>
  </si>
  <si>
    <t>0.460725</t>
  </si>
  <si>
    <t>09/12/2024 08:00:14</t>
  </si>
  <si>
    <t>06/02/2025 10:49:12</t>
  </si>
  <si>
    <t>-0.02</t>
  </si>
  <si>
    <t>1.0564</t>
  </si>
  <si>
    <t>1.0360</t>
  </si>
  <si>
    <t>FR0000120693</t>
  </si>
  <si>
    <t>2929145405</t>
  </si>
  <si>
    <t>0.788705</t>
  </si>
  <si>
    <t>30/01/2025 14:50:14</t>
  </si>
  <si>
    <t>03/02/2025 14:31:37</t>
  </si>
  <si>
    <t>US36828A1016</t>
  </si>
  <si>
    <t>2871892458</t>
  </si>
  <si>
    <t>0.240585</t>
  </si>
  <si>
    <t>03/12/2024 09:20:02</t>
  </si>
  <si>
    <t>29/01/2025 09:01:23</t>
  </si>
  <si>
    <t>-0.08</t>
  </si>
  <si>
    <t>1.0529</t>
  </si>
  <si>
    <t>1.0423</t>
  </si>
  <si>
    <t>FR0000121014</t>
  </si>
  <si>
    <t>2917701125</t>
  </si>
  <si>
    <t>1.249687</t>
  </si>
  <si>
    <t>17/01/2025 20:01:30</t>
  </si>
  <si>
    <t>27/01/2025 14:30:07</t>
  </si>
  <si>
    <t>KYG254571055</t>
  </si>
  <si>
    <t>2817666806</t>
  </si>
  <si>
    <t>16.741479</t>
  </si>
  <si>
    <t>30/09/2024 07:00:17</t>
  </si>
  <si>
    <t>24/01/2025 15:19:27</t>
  </si>
  <si>
    <t>-0.79</t>
  </si>
  <si>
    <t>1.1168</t>
  </si>
  <si>
    <t>1.0499</t>
  </si>
  <si>
    <t>FR0000054470</t>
  </si>
  <si>
    <t>2880399353</t>
  </si>
  <si>
    <t>3.693247</t>
  </si>
  <si>
    <t>10/12/2024 14:30:20</t>
  </si>
  <si>
    <t>13/01/2025 14:31:12</t>
  </si>
  <si>
    <t>-0.04</t>
  </si>
  <si>
    <t>NL00150001Q9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</si>
</sst>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d/m/yyyy h:mm:ss"/>
    <numFmt numFmtId="166" formatCode="&quot;$&quot;#,##0.00"/>
    <numFmt numFmtId="167" formatCode="dd/mm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7" xfId="0" applyAlignment="1" applyFont="1" applyNumberFormat="1">
      <alignment readingOrder="0"/>
    </xf>
    <xf borderId="0" fillId="3" fontId="1" numFmtId="10" xfId="0" applyAlignment="1" applyFont="1" applyNumberFormat="1">
      <alignment readingOrder="0"/>
    </xf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0" xfId="0" applyAlignment="1" applyFont="1" applyNumberFormat="1">
      <alignment horizontal="right" readingOrder="0"/>
    </xf>
    <xf borderId="0" fillId="4" fontId="2" numFmtId="39" xfId="0" applyAlignment="1" applyFill="1" applyFont="1" applyNumberFormat="1">
      <alignment vertical="bottom"/>
    </xf>
    <xf borderId="0" fillId="5" fontId="2" numFmtId="39" xfId="0" applyAlignment="1" applyFill="1" applyFont="1" applyNumberFormat="1">
      <alignment vertical="bottom"/>
    </xf>
    <xf borderId="0" fillId="5" fontId="2" numFmtId="39" xfId="0" applyAlignment="1" applyFont="1" applyNumberFormat="1">
      <alignment horizontal="right" vertical="bottom"/>
    </xf>
    <xf borderId="0" fillId="5" fontId="2" numFmtId="0" xfId="0" applyAlignment="1" applyFont="1">
      <alignment vertical="bottom"/>
    </xf>
    <xf borderId="0" fillId="6" fontId="2" numFmtId="39" xfId="0" applyAlignment="1" applyFill="1" applyFont="1" applyNumberFormat="1">
      <alignment vertical="bottom"/>
    </xf>
    <xf borderId="0" fillId="6" fontId="2" numFmtId="39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osiciones cerrad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varo Ortiz Pedroso" id="{41988ab9-1980-4bbe-8589-cc543867a503}" providerId="google-sheets"/>
</x18tc:personList>
</file>

<file path=xl/tables/table1.xml><?xml version="1.0" encoding="utf-8"?>
<table xmlns="http://schemas.openxmlformats.org/spreadsheetml/2006/main" ref="A1:W48" displayName="Table_1" name="Table_1" id="1">
  <tableColumns count="23">
    <tableColumn name=" " id="1"/>
    <tableColumn name="Acción" id="2"/>
    <tableColumn name="Long / Short" id="3"/>
    <tableColumn name="Importe" id="4"/>
    <tableColumn name="Unidades" id="5"/>
    <tableColumn name="Fecha de apertura" id="6"/>
    <tableColumn name="Fecha de cierre" id="7"/>
    <tableColumn name="Apalancamiento" id="8"/>
    <tableColumn name="Comisiones de diferencial (USD)" id="9"/>
    <tableColumn name="Diferencial de mercado (USD)" id="10"/>
    <tableColumn name="Ganancias (USD)" id="11"/>
    <tableColumn name="Ganancias (EUR)" id="12"/>
    <tableColumn name="Tipo de cambio de apertura (USD)" id="13"/>
    <tableColumn name="Tipo de cambio al cierre (USD)" id="14"/>
    <tableColumn name="Tasa de apertura" id="15"/>
    <tableColumn name="Tasa de cierre" id="16"/>
    <tableColumn name="Tasa de Take Profit" id="17"/>
    <tableColumn name="Tasa de Stop Loss" id="18"/>
    <tableColumn name="Comisiones nocturnas y dividendos" id="19"/>
    <tableColumn name="Copiado desde" id="20"/>
    <tableColumn name="Tipo" id="21"/>
    <tableColumn name="ISIN" id="22"/>
    <tableColumn name="Notas" id="23"/>
  </tableColumns>
  <tableStyleInfo name="Posiciones cerra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4-10T17:25:15.00" personId="{41988ab9-1980-4bbe-8589-cc543867a503}" id="{2c282bd9-ff74-4282-b37d-8f12852a5735}" done="0">
    <x18tc:text xml:space="preserve">NO TOCAR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44.63"/>
    <col customWidth="1" min="3" max="3" width="26.63"/>
    <col customWidth="1" min="4" max="4" width="23.38"/>
    <col customWidth="1" min="5" max="5" width="22.0"/>
    <col customWidth="1" min="6" max="6" width="22.63"/>
    <col customWidth="1" min="7" max="7" width="20.38"/>
    <col customWidth="1" min="8" max="8" width="20.25"/>
    <col customWidth="1" min="9" max="9" width="19.13"/>
    <col customWidth="1" min="10" max="10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</row>
    <row r="2">
      <c r="A2" s="1" t="s">
        <v>12</v>
      </c>
      <c r="B2" s="1" t="s">
        <v>13</v>
      </c>
      <c r="C2" s="3"/>
      <c r="E2" s="4"/>
      <c r="F2" s="4"/>
      <c r="G2" s="3"/>
      <c r="H2" s="5"/>
      <c r="I2" s="6" t="str">
        <f>IFERROR(__xludf.DUMMYFUNCTION("INDEX(GOOGLEFINANCE(""CURRENCY:USDEUR"", ""price"", E2), 2, 2)"),"#N/A")</f>
        <v>#N/A</v>
      </c>
      <c r="J2" s="7" t="str">
        <f>IFERROR(__xludf.DUMMYFUNCTION("INDEX(GOOGLEFINANCE(""CURRENCY:USDEUR"", ""price"", F2), 2, 2)"),"#N/A")</f>
        <v>#N/A</v>
      </c>
      <c r="K2" s="7" t="str">
        <f t="shared" ref="K2:K18" si="1">C2 * I2</f>
        <v>#N/A</v>
      </c>
      <c r="L2" s="7" t="str">
        <f t="shared" ref="L2:L18" si="2">(C2 + G2) * J2</f>
        <v>#N/A</v>
      </c>
      <c r="M2" s="5"/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>
      <c r="A3" s="1" t="s">
        <v>12</v>
      </c>
      <c r="B3" s="1" t="s">
        <v>19</v>
      </c>
      <c r="C3" s="3"/>
      <c r="E3" s="4"/>
      <c r="F3" s="4"/>
      <c r="G3" s="3"/>
      <c r="H3" s="5"/>
      <c r="I3" s="6" t="str">
        <f>IFERROR(__xludf.DUMMYFUNCTION("INDEX(GOOGLEFINANCE(""CURRENCY:USDEUR"", ""price"", E4), 2, 2)"),"#N/A")</f>
        <v>#N/A</v>
      </c>
      <c r="J3" s="7" t="str">
        <f>IFERROR(__xludf.DUMMYFUNCTION("INDEX(GOOGLEFINANCE(""CURRENCY:USDEUR"", ""price"", F3), 2, 2)"),"#N/A")</f>
        <v>#N/A</v>
      </c>
      <c r="K3" s="7" t="str">
        <f t="shared" si="1"/>
        <v>#N/A</v>
      </c>
      <c r="L3" s="7" t="str">
        <f t="shared" si="2"/>
        <v>#N/A</v>
      </c>
      <c r="M3" s="5"/>
      <c r="N3" s="1" t="s">
        <v>20</v>
      </c>
      <c r="O3" s="1">
        <v>21.6</v>
      </c>
      <c r="P3" s="1">
        <v>4.1</v>
      </c>
      <c r="Q3" s="1">
        <v>14.79</v>
      </c>
      <c r="R3" s="1">
        <v>-10.5</v>
      </c>
    </row>
    <row r="4">
      <c r="A4" s="1" t="s">
        <v>12</v>
      </c>
      <c r="B4" s="1" t="s">
        <v>21</v>
      </c>
      <c r="C4" s="3"/>
      <c r="E4" s="4"/>
      <c r="F4" s="4"/>
      <c r="G4" s="3"/>
      <c r="H4" s="5"/>
      <c r="I4" s="6" t="str">
        <f>IFERROR(__xludf.DUMMYFUNCTION("INDEX(GOOGLEFINANCE(""CURRENCY:USDEUR"", ""price"", E5), 2, 2)"),"#N/A")</f>
        <v>#N/A</v>
      </c>
      <c r="J4" s="7" t="str">
        <f>IFERROR(__xludf.DUMMYFUNCTION("INDEX(GOOGLEFINANCE(""CURRENCY:USDEUR"", ""price"", F4), 2, 2)"),"#N/A")</f>
        <v>#N/A</v>
      </c>
      <c r="K4" s="7" t="str">
        <f t="shared" si="1"/>
        <v>#N/A</v>
      </c>
      <c r="L4" s="7" t="str">
        <f t="shared" si="2"/>
        <v>#N/A</v>
      </c>
      <c r="M4" s="5"/>
      <c r="N4" s="5"/>
      <c r="O4" s="5"/>
      <c r="P4" s="5"/>
      <c r="Q4" s="5"/>
      <c r="R4" s="5"/>
    </row>
    <row r="5">
      <c r="A5" s="1" t="s">
        <v>12</v>
      </c>
      <c r="B5" s="1" t="s">
        <v>22</v>
      </c>
      <c r="C5" s="3"/>
      <c r="E5" s="4"/>
      <c r="F5" s="4"/>
      <c r="G5" s="3"/>
      <c r="H5" s="5"/>
      <c r="I5" s="6" t="str">
        <f>IFERROR(__xludf.DUMMYFUNCTION("INDEX(GOOGLEFINANCE(""CURRENCY:USDEUR"", ""price"", E5), 2, 2)"),"#N/A")</f>
        <v>#N/A</v>
      </c>
      <c r="J5" s="7" t="str">
        <f>IFERROR(__xludf.DUMMYFUNCTION("INDEX(GOOGLEFINANCE(""CURRENCY:USDEUR"", ""price"", F5), 2, 2)"),"#N/A")</f>
        <v>#N/A</v>
      </c>
      <c r="K5" s="7" t="str">
        <f t="shared" si="1"/>
        <v>#N/A</v>
      </c>
      <c r="L5" s="7" t="str">
        <f t="shared" si="2"/>
        <v>#N/A</v>
      </c>
      <c r="M5" s="5"/>
      <c r="N5" s="5"/>
      <c r="O5" s="5"/>
      <c r="P5" s="5"/>
      <c r="Q5" s="5"/>
      <c r="R5" s="5"/>
    </row>
    <row r="6">
      <c r="A6" s="1" t="s">
        <v>12</v>
      </c>
      <c r="B6" s="1" t="s">
        <v>23</v>
      </c>
      <c r="C6" s="3"/>
      <c r="E6" s="4"/>
      <c r="F6" s="4"/>
      <c r="G6" s="3"/>
      <c r="H6" s="5"/>
      <c r="I6" s="6" t="str">
        <f>IFERROR(__xludf.DUMMYFUNCTION("INDEX(GOOGLEFINANCE(""CURRENCY:USDEUR"", ""price"", E7), 2, 2)"),"#N/A")</f>
        <v>#N/A</v>
      </c>
      <c r="J6" s="7" t="str">
        <f>IFERROR(__xludf.DUMMYFUNCTION("INDEX(GOOGLEFINANCE(""CURRENCY:USDEUR"", ""price"", F6), 2, 2)"),"#N/A")</f>
        <v>#N/A</v>
      </c>
      <c r="K6" s="7" t="str">
        <f t="shared" si="1"/>
        <v>#N/A</v>
      </c>
      <c r="L6" s="7" t="str">
        <f t="shared" si="2"/>
        <v>#N/A</v>
      </c>
      <c r="M6" s="5"/>
      <c r="N6" s="5"/>
      <c r="O6" s="5"/>
      <c r="P6" s="5"/>
      <c r="Q6" s="5"/>
      <c r="R6" s="5"/>
    </row>
    <row r="7">
      <c r="A7" s="1" t="s">
        <v>12</v>
      </c>
      <c r="B7" s="1" t="s">
        <v>24</v>
      </c>
      <c r="C7" s="3"/>
      <c r="E7" s="4"/>
      <c r="F7" s="4"/>
      <c r="G7" s="3"/>
      <c r="H7" s="5"/>
      <c r="I7" s="6" t="str">
        <f>IFERROR(__xludf.DUMMYFUNCTION("INDEX(GOOGLEFINANCE(""CURRENCY:USDEUR"", ""price"", E8), 2, 2)"),"#N/A")</f>
        <v>#N/A</v>
      </c>
      <c r="J7" s="7" t="str">
        <f>IFERROR(__xludf.DUMMYFUNCTION("INDEX(GOOGLEFINANCE(""CURRENCY:USDEUR"", ""price"", F7), 2, 2)"),"#N/A")</f>
        <v>#N/A</v>
      </c>
      <c r="K7" s="7" t="str">
        <f t="shared" si="1"/>
        <v>#N/A</v>
      </c>
      <c r="L7" s="7" t="str">
        <f t="shared" si="2"/>
        <v>#N/A</v>
      </c>
      <c r="M7" s="5"/>
      <c r="N7" s="5"/>
      <c r="O7" s="5"/>
      <c r="P7" s="5"/>
      <c r="Q7" s="5"/>
      <c r="R7" s="5"/>
    </row>
    <row r="8">
      <c r="A8" s="1" t="s">
        <v>12</v>
      </c>
      <c r="B8" s="1" t="s">
        <v>25</v>
      </c>
      <c r="C8" s="3"/>
      <c r="E8" s="4"/>
      <c r="F8" s="4"/>
      <c r="G8" s="3"/>
      <c r="H8" s="5"/>
      <c r="I8" s="6" t="str">
        <f>IFERROR(__xludf.DUMMYFUNCTION("INDEX(GOOGLEFINANCE(""CURRENCY:USDEUR"", ""price"", E8), 2, 2)"),"#N/A")</f>
        <v>#N/A</v>
      </c>
      <c r="J8" s="7" t="str">
        <f>IFERROR(__xludf.DUMMYFUNCTION("INDEX(GOOGLEFINANCE(""CURRENCY:USDEUR"", ""price"", F8), 2, 2)"),"#N/A")</f>
        <v>#N/A</v>
      </c>
      <c r="K8" s="7" t="str">
        <f t="shared" si="1"/>
        <v>#N/A</v>
      </c>
      <c r="L8" s="7" t="str">
        <f t="shared" si="2"/>
        <v>#N/A</v>
      </c>
      <c r="M8" s="5"/>
      <c r="N8" s="5"/>
      <c r="O8" s="5"/>
      <c r="P8" s="5"/>
      <c r="Q8" s="5"/>
      <c r="R8" s="5"/>
    </row>
    <row r="9">
      <c r="A9" s="1" t="s">
        <v>12</v>
      </c>
      <c r="B9" s="1" t="s">
        <v>26</v>
      </c>
      <c r="C9" s="3"/>
      <c r="E9" s="4"/>
      <c r="F9" s="4"/>
      <c r="G9" s="3"/>
      <c r="H9" s="5"/>
      <c r="I9" s="6" t="str">
        <f>IFERROR(__xludf.DUMMYFUNCTION("INDEX(GOOGLEFINANCE(""CURRENCY:USDEUR"", ""price"", E10), 2, 2)"),"#N/A")</f>
        <v>#N/A</v>
      </c>
      <c r="J9" s="7" t="str">
        <f>IFERROR(__xludf.DUMMYFUNCTION("INDEX(GOOGLEFINANCE(""CURRENCY:USDEUR"", ""price"", F9), 2, 2)"),"#N/A")</f>
        <v>#N/A</v>
      </c>
      <c r="K9" s="7" t="str">
        <f t="shared" si="1"/>
        <v>#N/A</v>
      </c>
      <c r="L9" s="7" t="str">
        <f t="shared" si="2"/>
        <v>#N/A</v>
      </c>
      <c r="M9" s="5"/>
      <c r="N9" s="5"/>
      <c r="O9" s="5"/>
      <c r="P9" s="5"/>
      <c r="Q9" s="5"/>
      <c r="R9" s="5"/>
    </row>
    <row r="10">
      <c r="A10" s="1" t="s">
        <v>12</v>
      </c>
      <c r="B10" s="1" t="s">
        <v>27</v>
      </c>
      <c r="C10" s="3"/>
      <c r="E10" s="4"/>
      <c r="F10" s="4"/>
      <c r="G10" s="3"/>
      <c r="H10" s="5"/>
      <c r="I10" s="6" t="str">
        <f>IFERROR(__xludf.DUMMYFUNCTION("INDEX(GOOGLEFINANCE(""CURRENCY:USDEUR"", ""price"", E11), 2, 2)"),"#N/A")</f>
        <v>#N/A</v>
      </c>
      <c r="J10" s="7" t="str">
        <f>IFERROR(__xludf.DUMMYFUNCTION("INDEX(GOOGLEFINANCE(""CURRENCY:USDEUR"", ""price"", F10), 2, 2)"),"#N/A")</f>
        <v>#N/A</v>
      </c>
      <c r="K10" s="7" t="str">
        <f t="shared" si="1"/>
        <v>#N/A</v>
      </c>
      <c r="L10" s="7" t="str">
        <f t="shared" si="2"/>
        <v>#N/A</v>
      </c>
      <c r="M10" s="5"/>
      <c r="N10" s="5"/>
      <c r="O10" s="5"/>
      <c r="P10" s="5"/>
      <c r="Q10" s="5"/>
      <c r="R10" s="5"/>
    </row>
    <row r="11">
      <c r="A11" s="1" t="s">
        <v>12</v>
      </c>
      <c r="B11" s="1" t="s">
        <v>28</v>
      </c>
      <c r="C11" s="3"/>
      <c r="E11" s="4"/>
      <c r="F11" s="4"/>
      <c r="G11" s="3"/>
      <c r="H11" s="5"/>
      <c r="I11" s="6" t="str">
        <f>IFERROR(__xludf.DUMMYFUNCTION("INDEX(GOOGLEFINANCE(""CURRENCY:USDEUR"", ""price"", E11), 2, 2)"),"#N/A")</f>
        <v>#N/A</v>
      </c>
      <c r="J11" s="7" t="str">
        <f>IFERROR(__xludf.DUMMYFUNCTION("INDEX(GOOGLEFINANCE(""CURRENCY:USDEUR"", ""price"", F11), 2, 2)"),"#N/A")</f>
        <v>#N/A</v>
      </c>
      <c r="K11" s="7" t="str">
        <f t="shared" si="1"/>
        <v>#N/A</v>
      </c>
      <c r="L11" s="7" t="str">
        <f t="shared" si="2"/>
        <v>#N/A</v>
      </c>
      <c r="M11" s="5"/>
      <c r="N11" s="5"/>
      <c r="O11" s="5"/>
      <c r="P11" s="5"/>
      <c r="Q11" s="5"/>
      <c r="R11" s="5"/>
    </row>
    <row r="12">
      <c r="A12" s="1" t="s">
        <v>12</v>
      </c>
      <c r="B12" s="1" t="s">
        <v>28</v>
      </c>
      <c r="C12" s="3"/>
      <c r="E12" s="4"/>
      <c r="F12" s="4"/>
      <c r="G12" s="3"/>
      <c r="H12" s="5"/>
      <c r="I12" s="6" t="str">
        <f>IFERROR(__xludf.DUMMYFUNCTION("INDEX(GOOGLEFINANCE(""CURRENCY:USDEUR"", ""price"", E13), 2, 2)"),"#N/A")</f>
        <v>#N/A</v>
      </c>
      <c r="J12" s="7" t="str">
        <f>IFERROR(__xludf.DUMMYFUNCTION("INDEX(GOOGLEFINANCE(""CURRENCY:USDEUR"", ""price"", F12), 2, 2)"),"#N/A")</f>
        <v>#N/A</v>
      </c>
      <c r="K12" s="7" t="str">
        <f t="shared" si="1"/>
        <v>#N/A</v>
      </c>
      <c r="L12" s="7" t="str">
        <f t="shared" si="2"/>
        <v>#N/A</v>
      </c>
      <c r="M12" s="5"/>
      <c r="N12" s="5"/>
      <c r="O12" s="5"/>
      <c r="P12" s="5"/>
      <c r="Q12" s="5"/>
      <c r="R12" s="5"/>
    </row>
    <row r="13">
      <c r="A13" s="1" t="s">
        <v>12</v>
      </c>
      <c r="B13" s="1" t="s">
        <v>28</v>
      </c>
      <c r="C13" s="3"/>
      <c r="E13" s="4"/>
      <c r="F13" s="4"/>
      <c r="G13" s="3"/>
      <c r="H13" s="5"/>
      <c r="I13" s="6" t="str">
        <f>IFERROR(__xludf.DUMMYFUNCTION("INDEX(GOOGLEFINANCE(""CURRENCY:USDEUR"", ""price"", E14), 2, 2)"),"#N/A")</f>
        <v>#N/A</v>
      </c>
      <c r="J13" s="7" t="str">
        <f>IFERROR(__xludf.DUMMYFUNCTION("INDEX(GOOGLEFINANCE(""CURRENCY:USDEUR"", ""price"", F13), 2, 2)"),"#N/A")</f>
        <v>#N/A</v>
      </c>
      <c r="K13" s="7" t="str">
        <f t="shared" si="1"/>
        <v>#N/A</v>
      </c>
      <c r="L13" s="7" t="str">
        <f t="shared" si="2"/>
        <v>#N/A</v>
      </c>
      <c r="M13" s="5"/>
      <c r="N13" s="5"/>
      <c r="O13" s="5"/>
      <c r="P13" s="5"/>
      <c r="Q13" s="5"/>
      <c r="R13" s="5"/>
    </row>
    <row r="14">
      <c r="A14" s="1" t="s">
        <v>12</v>
      </c>
      <c r="B14" s="1" t="s">
        <v>29</v>
      </c>
      <c r="C14" s="3"/>
      <c r="E14" s="8"/>
      <c r="F14" s="8"/>
      <c r="G14" s="3"/>
      <c r="H14" s="5"/>
      <c r="I14" s="6" t="str">
        <f>IFERROR(__xludf.DUMMYFUNCTION("INDEX(GOOGLEFINANCE(""CURRENCY:USDEUR"", ""price"", E14), 2, 2)"),"#N/A")</f>
        <v>#N/A</v>
      </c>
      <c r="J14" s="7" t="str">
        <f>IFERROR(__xludf.DUMMYFUNCTION("INDEX(GOOGLEFINANCE(""CURRENCY:USDEUR"", ""price"", F14), 2, 2)"),"#N/A")</f>
        <v>#N/A</v>
      </c>
      <c r="K14" s="7" t="str">
        <f t="shared" si="1"/>
        <v>#N/A</v>
      </c>
      <c r="L14" s="7" t="str">
        <f t="shared" si="2"/>
        <v>#N/A</v>
      </c>
      <c r="M14" s="5"/>
      <c r="N14" s="5"/>
      <c r="O14" s="5"/>
      <c r="P14" s="5"/>
      <c r="Q14" s="5"/>
      <c r="R14" s="5"/>
    </row>
    <row r="15">
      <c r="A15" s="1" t="s">
        <v>12</v>
      </c>
      <c r="B15" s="1" t="s">
        <v>30</v>
      </c>
      <c r="C15" s="3"/>
      <c r="E15" s="8"/>
      <c r="F15" s="8"/>
      <c r="G15" s="3"/>
      <c r="H15" s="5"/>
      <c r="I15" s="6" t="str">
        <f>IFERROR(__xludf.DUMMYFUNCTION("INDEX(GOOGLEFINANCE(""CURRENCY:USDEUR"", ""price"", E16), 2, 2)"),"#N/A")</f>
        <v>#N/A</v>
      </c>
      <c r="J15" s="7" t="str">
        <f>IFERROR(__xludf.DUMMYFUNCTION("INDEX(GOOGLEFINANCE(""CURRENCY:USDEUR"", ""price"", F15), 2, 2)"),"#N/A")</f>
        <v>#N/A</v>
      </c>
      <c r="K15" s="7" t="str">
        <f t="shared" si="1"/>
        <v>#N/A</v>
      </c>
      <c r="L15" s="7" t="str">
        <f t="shared" si="2"/>
        <v>#N/A</v>
      </c>
      <c r="M15" s="5"/>
      <c r="N15" s="5"/>
      <c r="O15" s="5"/>
      <c r="P15" s="5"/>
      <c r="Q15" s="5"/>
      <c r="R15" s="5"/>
    </row>
    <row r="16">
      <c r="A16" s="1" t="s">
        <v>12</v>
      </c>
      <c r="B16" s="1" t="s">
        <v>31</v>
      </c>
      <c r="C16" s="3"/>
      <c r="E16" s="4"/>
      <c r="F16" s="4"/>
      <c r="G16" s="3"/>
      <c r="H16" s="5"/>
      <c r="I16" s="6" t="str">
        <f>IFERROR(__xludf.DUMMYFUNCTION("INDEX(GOOGLEFINANCE(""CURRENCY:USDEUR"", ""price"", E17), 2, 2)"),"#N/A")</f>
        <v>#N/A</v>
      </c>
      <c r="J16" s="7" t="str">
        <f>IFERROR(__xludf.DUMMYFUNCTION("INDEX(GOOGLEFINANCE(""CURRENCY:USDEUR"", ""price"", F16), 2, 2)"),"#N/A")</f>
        <v>#N/A</v>
      </c>
      <c r="K16" s="7" t="str">
        <f t="shared" si="1"/>
        <v>#N/A</v>
      </c>
      <c r="L16" s="7" t="str">
        <f t="shared" si="2"/>
        <v>#N/A</v>
      </c>
      <c r="M16" s="5"/>
      <c r="N16" s="5"/>
      <c r="O16" s="5"/>
      <c r="P16" s="5"/>
      <c r="Q16" s="5"/>
      <c r="R16" s="5"/>
    </row>
    <row r="17">
      <c r="A17" s="1" t="s">
        <v>12</v>
      </c>
      <c r="B17" s="1" t="s">
        <v>32</v>
      </c>
      <c r="C17" s="3"/>
      <c r="E17" s="8"/>
      <c r="F17" s="8"/>
      <c r="G17" s="3"/>
      <c r="H17" s="5"/>
      <c r="I17" s="6" t="str">
        <f>IFERROR(__xludf.DUMMYFUNCTION("INDEX(GOOGLEFINANCE(""CURRENCY:USDEUR"", ""price"", E17), 2, 2)"),"#N/A")</f>
        <v>#N/A</v>
      </c>
      <c r="J17" s="7" t="str">
        <f>IFERROR(__xludf.DUMMYFUNCTION("INDEX(GOOGLEFINANCE(""CURRENCY:USDEUR"", ""price"", F17), 2, 2)"),"#N/A")</f>
        <v>#N/A</v>
      </c>
      <c r="K17" s="7" t="str">
        <f t="shared" si="1"/>
        <v>#N/A</v>
      </c>
      <c r="L17" s="7" t="str">
        <f t="shared" si="2"/>
        <v>#N/A</v>
      </c>
      <c r="M17" s="5"/>
      <c r="N17" s="5"/>
      <c r="O17" s="5"/>
      <c r="P17" s="5"/>
      <c r="Q17" s="5"/>
      <c r="R17" s="5"/>
    </row>
    <row r="18">
      <c r="A18" s="1" t="s">
        <v>12</v>
      </c>
      <c r="B18" s="1" t="s">
        <v>33</v>
      </c>
      <c r="C18" s="3"/>
      <c r="E18" s="8"/>
      <c r="F18" s="8"/>
      <c r="G18" s="3"/>
      <c r="H18" s="5"/>
      <c r="I18" s="6" t="str">
        <f>IFERROR(__xludf.DUMMYFUNCTION("INDEX(GOOGLEFINANCE(""CURRENCY:USDEUR"", ""price"", E19), 2, 2)"),"#N/A")</f>
        <v>#N/A</v>
      </c>
      <c r="J18" s="7" t="str">
        <f>IFERROR(__xludf.DUMMYFUNCTION("INDEX(GOOGLEFINANCE(""CURRENCY:USDEUR"", ""price"", F18), 2, 2)"),"#N/A")</f>
        <v>#N/A</v>
      </c>
      <c r="K18" s="7" t="str">
        <f t="shared" si="1"/>
        <v>#N/A</v>
      </c>
      <c r="L18" s="7" t="str">
        <f t="shared" si="2"/>
        <v>#N/A</v>
      </c>
      <c r="M18" s="5"/>
      <c r="N18" s="5"/>
      <c r="O18" s="5"/>
      <c r="P18" s="5"/>
      <c r="Q18" s="5"/>
      <c r="R18" s="5"/>
    </row>
    <row r="19">
      <c r="A19" s="1" t="s">
        <v>12</v>
      </c>
      <c r="B19" s="9" t="s">
        <v>34</v>
      </c>
      <c r="C19" s="10"/>
      <c r="D19" s="9"/>
      <c r="E19" s="11"/>
      <c r="F19" s="11"/>
      <c r="G19" s="10"/>
      <c r="H19" s="12"/>
      <c r="I19" s="13" t="str">
        <f>IFERROR(__xludf.DUMMYFUNCTION("INDEX(GOOGLEFINANCE(""CURRENCY:USDEUR"", ""price"", E20), 2, 2)"),"#N/A")</f>
        <v>#N/A</v>
      </c>
      <c r="J19" s="14" t="str">
        <f>IFERROR(__xludf.DUMMYFUNCTION("INDEX(GOOGLEFINANCE(""CURRENCY:USDEUR"", ""price"", F19), 2, 2)"),"#N/A")</f>
        <v>#N/A</v>
      </c>
      <c r="K19" s="14" t="str">
        <f>C19</f>
        <v/>
      </c>
      <c r="L19" s="14">
        <f>(C19 + G19)</f>
        <v>0</v>
      </c>
      <c r="M19" s="5"/>
      <c r="N19" s="5"/>
      <c r="O19" s="5"/>
      <c r="P19" s="5"/>
      <c r="Q19" s="5"/>
      <c r="R19" s="5"/>
    </row>
    <row r="20">
      <c r="A20" s="1" t="s">
        <v>12</v>
      </c>
      <c r="B20" s="1" t="s">
        <v>35</v>
      </c>
      <c r="C20" s="3"/>
      <c r="E20" s="8"/>
      <c r="F20" s="8"/>
      <c r="G20" s="3"/>
      <c r="H20" s="5"/>
      <c r="I20" s="6" t="str">
        <f>IFERROR(__xludf.DUMMYFUNCTION("INDEX(GOOGLEFINANCE(""CURRENCY:USDEUR"", ""price"", E20), 2, 2)"),"#N/A")</f>
        <v>#N/A</v>
      </c>
      <c r="J20" s="7" t="str">
        <f>IFERROR(__xludf.DUMMYFUNCTION("INDEX(GOOGLEFINANCE(""CURRENCY:USDEUR"", ""price"", F20-3, 4), 2, 2)"),"#N/A")</f>
        <v>#N/A</v>
      </c>
      <c r="K20" s="7" t="str">
        <f t="shared" ref="K20:K33" si="3">C20 * I20</f>
        <v>#N/A</v>
      </c>
      <c r="L20" s="7" t="str">
        <f t="shared" ref="L20:L33" si="4">(C20 + G20) * J20</f>
        <v>#N/A</v>
      </c>
      <c r="M20" s="5"/>
      <c r="N20" s="5"/>
      <c r="O20" s="5"/>
      <c r="P20" s="5"/>
      <c r="Q20" s="5"/>
      <c r="R20" s="5"/>
    </row>
    <row r="21">
      <c r="A21" s="1" t="s">
        <v>12</v>
      </c>
      <c r="B21" s="1" t="s">
        <v>36</v>
      </c>
      <c r="C21" s="3"/>
      <c r="E21" s="8"/>
      <c r="F21" s="8"/>
      <c r="G21" s="3"/>
      <c r="H21" s="5"/>
      <c r="I21" s="6" t="str">
        <f>IFERROR(__xludf.DUMMYFUNCTION("INDEX(GOOGLEFINANCE(""CURRENCY:USDEUR"", ""price"", E22), 2, 2)"),"#N/A")</f>
        <v>#N/A</v>
      </c>
      <c r="J21" s="7" t="str">
        <f>IFERROR(__xludf.DUMMYFUNCTION("INDEX(GOOGLEFINANCE(""CURRENCY:USDEUR"", ""price"", F21, 4), 2, 2)"),"#N/A")</f>
        <v>#N/A</v>
      </c>
      <c r="K21" s="7" t="str">
        <f t="shared" si="3"/>
        <v>#N/A</v>
      </c>
      <c r="L21" s="7" t="str">
        <f t="shared" si="4"/>
        <v>#N/A</v>
      </c>
      <c r="M21" s="5"/>
      <c r="N21" s="5"/>
      <c r="O21" s="5"/>
      <c r="P21" s="5"/>
      <c r="Q21" s="5"/>
      <c r="R21" s="5"/>
    </row>
    <row r="22">
      <c r="A22" s="1" t="s">
        <v>12</v>
      </c>
      <c r="B22" s="1" t="s">
        <v>37</v>
      </c>
      <c r="C22" s="3"/>
      <c r="E22" s="8"/>
      <c r="F22" s="8"/>
      <c r="G22" s="3"/>
      <c r="H22" s="5"/>
      <c r="I22" s="6" t="str">
        <f>IFERROR(__xludf.DUMMYFUNCTION("INDEX(GOOGLEFINANCE(""CURRENCY:USDEUR"", ""price"", E23), 2, 2)"),"#N/A")</f>
        <v>#N/A</v>
      </c>
      <c r="J22" s="7" t="str">
        <f>IFERROR(__xludf.DUMMYFUNCTION("INDEX(GOOGLEFINANCE(""CURRENCY:USDEUR"", ""price"", F22), 2, 2)"),"#N/A")</f>
        <v>#N/A</v>
      </c>
      <c r="K22" s="7" t="str">
        <f t="shared" si="3"/>
        <v>#N/A</v>
      </c>
      <c r="L22" s="7" t="str">
        <f t="shared" si="4"/>
        <v>#N/A</v>
      </c>
      <c r="M22" s="5"/>
      <c r="N22" s="5"/>
      <c r="O22" s="5"/>
      <c r="P22" s="5"/>
      <c r="Q22" s="5"/>
      <c r="R22" s="5"/>
    </row>
    <row r="23">
      <c r="A23" s="1" t="s">
        <v>12</v>
      </c>
      <c r="B23" s="1" t="s">
        <v>38</v>
      </c>
      <c r="C23" s="3"/>
      <c r="E23" s="8"/>
      <c r="F23" s="8"/>
      <c r="G23" s="3"/>
      <c r="H23" s="5"/>
      <c r="I23" s="6" t="str">
        <f>IFERROR(__xludf.DUMMYFUNCTION("INDEX(GOOGLEFINANCE(""CURRENCY:USDEUR"", ""price"", E23), 2, 2)"),"#N/A")</f>
        <v>#N/A</v>
      </c>
      <c r="J23" s="7" t="str">
        <f>IFERROR(__xludf.DUMMYFUNCTION("INDEX(GOOGLEFINANCE(""CURRENCY:USDEUR"", ""price"", F23), 2, 2)"),"#N/A")</f>
        <v>#N/A</v>
      </c>
      <c r="K23" s="7" t="str">
        <f t="shared" si="3"/>
        <v>#N/A</v>
      </c>
      <c r="L23" s="7" t="str">
        <f t="shared" si="4"/>
        <v>#N/A</v>
      </c>
      <c r="M23" s="5"/>
      <c r="N23" s="5"/>
      <c r="O23" s="5"/>
      <c r="P23" s="5"/>
      <c r="Q23" s="5"/>
      <c r="R23" s="5"/>
    </row>
    <row r="24">
      <c r="A24" s="1" t="s">
        <v>12</v>
      </c>
      <c r="B24" s="1" t="s">
        <v>39</v>
      </c>
      <c r="C24" s="3"/>
      <c r="E24" s="8"/>
      <c r="F24" s="8"/>
      <c r="G24" s="3"/>
      <c r="H24" s="5"/>
      <c r="I24" s="6" t="str">
        <f>IFERROR(__xludf.DUMMYFUNCTION("INDEX(GOOGLEFINANCE(""CURRENCY:USDEUR"", ""price"", E25), 2, 2)"),"#N/A")</f>
        <v>#N/A</v>
      </c>
      <c r="J24" s="7" t="str">
        <f>IFERROR(__xludf.DUMMYFUNCTION("INDEX(GOOGLEFINANCE(""CURRENCY:USDEUR"", ""price"", F24), 2, 2)"),"#N/A")</f>
        <v>#N/A</v>
      </c>
      <c r="K24" s="7" t="str">
        <f t="shared" si="3"/>
        <v>#N/A</v>
      </c>
      <c r="L24" s="7" t="str">
        <f t="shared" si="4"/>
        <v>#N/A</v>
      </c>
      <c r="M24" s="5"/>
      <c r="N24" s="5"/>
      <c r="O24" s="5"/>
      <c r="P24" s="5"/>
      <c r="Q24" s="5"/>
      <c r="R24" s="5"/>
    </row>
    <row r="25">
      <c r="A25" s="1" t="s">
        <v>12</v>
      </c>
      <c r="B25" s="1" t="s">
        <v>40</v>
      </c>
      <c r="C25" s="3"/>
      <c r="E25" s="8"/>
      <c r="F25" s="8"/>
      <c r="G25" s="3"/>
      <c r="H25" s="5"/>
      <c r="I25" s="6" t="str">
        <f>IFERROR(__xludf.DUMMYFUNCTION("INDEX(GOOGLEFINANCE(""CURRENCY:USDEUR"", ""price"", E26), 2, 2)"),"#N/A")</f>
        <v>#N/A</v>
      </c>
      <c r="J25" s="7" t="str">
        <f>IFERROR(__xludf.DUMMYFUNCTION("INDEX(GOOGLEFINANCE(""CURRENCY:USDEUR"", ""price"", F25), 2, 2)"),"#N/A")</f>
        <v>#N/A</v>
      </c>
      <c r="K25" s="7" t="str">
        <f t="shared" si="3"/>
        <v>#N/A</v>
      </c>
      <c r="L25" s="7" t="str">
        <f t="shared" si="4"/>
        <v>#N/A</v>
      </c>
      <c r="M25" s="5"/>
      <c r="N25" s="5"/>
      <c r="O25" s="5"/>
      <c r="P25" s="5"/>
      <c r="Q25" s="5"/>
      <c r="R25" s="5"/>
    </row>
    <row r="26">
      <c r="A26" s="1" t="s">
        <v>12</v>
      </c>
      <c r="B26" s="1" t="s">
        <v>41</v>
      </c>
      <c r="C26" s="3"/>
      <c r="E26" s="8"/>
      <c r="F26" s="8"/>
      <c r="G26" s="3"/>
      <c r="H26" s="5"/>
      <c r="I26" s="6" t="str">
        <f>IFERROR(__xludf.DUMMYFUNCTION("INDEX(GOOGLEFINANCE(""CURRENCY:USDEUR"", ""price"", E26), 2, 2)"),"#N/A")</f>
        <v>#N/A</v>
      </c>
      <c r="J26" s="7" t="str">
        <f>IFERROR(__xludf.DUMMYFUNCTION("INDEX(GOOGLEFINANCE(""CURRENCY:USDEUR"", ""price"", F26), 2, 2)"),"#N/A")</f>
        <v>#N/A</v>
      </c>
      <c r="K26" s="7" t="str">
        <f t="shared" si="3"/>
        <v>#N/A</v>
      </c>
      <c r="L26" s="7" t="str">
        <f t="shared" si="4"/>
        <v>#N/A</v>
      </c>
      <c r="M26" s="5"/>
      <c r="N26" s="5"/>
      <c r="O26" s="5"/>
      <c r="P26" s="5"/>
      <c r="Q26" s="5"/>
      <c r="R26" s="5"/>
    </row>
    <row r="27">
      <c r="A27" s="1" t="s">
        <v>12</v>
      </c>
      <c r="B27" s="1" t="s">
        <v>42</v>
      </c>
      <c r="C27" s="3"/>
      <c r="E27" s="8"/>
      <c r="F27" s="8"/>
      <c r="G27" s="3"/>
      <c r="H27" s="5"/>
      <c r="I27" s="6" t="str">
        <f>IFERROR(__xludf.DUMMYFUNCTION("INDEX(GOOGLEFINANCE(""CURRENCY:USDEUR"", ""price"", E28), 2, 2)"),"#N/A")</f>
        <v>#N/A</v>
      </c>
      <c r="J27" s="7" t="str">
        <f>IFERROR(__xludf.DUMMYFUNCTION("INDEX(GOOGLEFINANCE(""CURRENCY:USDEUR"", ""price"", F27), 2, 2)"),"#N/A")</f>
        <v>#N/A</v>
      </c>
      <c r="K27" s="7" t="str">
        <f t="shared" si="3"/>
        <v>#N/A</v>
      </c>
      <c r="L27" s="7" t="str">
        <f t="shared" si="4"/>
        <v>#N/A</v>
      </c>
      <c r="M27" s="5"/>
      <c r="N27" s="5"/>
      <c r="O27" s="5"/>
      <c r="P27" s="5"/>
      <c r="Q27" s="5"/>
      <c r="R27" s="5"/>
    </row>
    <row r="28">
      <c r="A28" s="1" t="s">
        <v>12</v>
      </c>
      <c r="B28" s="1" t="s">
        <v>43</v>
      </c>
      <c r="C28" s="3"/>
      <c r="E28" s="8"/>
      <c r="F28" s="8"/>
      <c r="G28" s="3"/>
      <c r="H28" s="5"/>
      <c r="I28" s="6" t="str">
        <f>IFERROR(__xludf.DUMMYFUNCTION("INDEX(GOOGLEFINANCE(""CURRENCY:USDEUR"", ""price"", E29), 2, 2)"),"#N/A")</f>
        <v>#N/A</v>
      </c>
      <c r="J28" s="7" t="str">
        <f>IFERROR(__xludf.DUMMYFUNCTION("INDEX(GOOGLEFINANCE(""CURRENCY:USDEUR"", ""price"", F28), 2, 2)"),"#N/A")</f>
        <v>#N/A</v>
      </c>
      <c r="K28" s="7" t="str">
        <f t="shared" si="3"/>
        <v>#N/A</v>
      </c>
      <c r="L28" s="7" t="str">
        <f t="shared" si="4"/>
        <v>#N/A</v>
      </c>
      <c r="M28" s="5"/>
      <c r="N28" s="5"/>
      <c r="O28" s="5"/>
      <c r="P28" s="5"/>
      <c r="Q28" s="5"/>
      <c r="R28" s="5"/>
    </row>
    <row r="29">
      <c r="A29" s="1" t="s">
        <v>12</v>
      </c>
      <c r="B29" s="1" t="s">
        <v>44</v>
      </c>
      <c r="C29" s="3"/>
      <c r="E29" s="8"/>
      <c r="F29" s="8"/>
      <c r="G29" s="3"/>
      <c r="H29" s="5"/>
      <c r="I29" s="6" t="str">
        <f>IFERROR(__xludf.DUMMYFUNCTION("INDEX(GOOGLEFINANCE(""CURRENCY:USDEUR"", ""price"", E29), 2, 2)"),"#N/A")</f>
        <v>#N/A</v>
      </c>
      <c r="J29" s="7" t="str">
        <f>IFERROR(__xludf.DUMMYFUNCTION("INDEX(GOOGLEFINANCE(""CURRENCY:USDEUR"", ""price"", F29), 2, 2)"),"#N/A")</f>
        <v>#N/A</v>
      </c>
      <c r="K29" s="7" t="str">
        <f t="shared" si="3"/>
        <v>#N/A</v>
      </c>
      <c r="L29" s="7" t="str">
        <f t="shared" si="4"/>
        <v>#N/A</v>
      </c>
      <c r="M29" s="5"/>
      <c r="N29" s="5"/>
      <c r="O29" s="5"/>
      <c r="P29" s="5"/>
      <c r="Q29" s="5"/>
      <c r="R29" s="5"/>
    </row>
    <row r="30">
      <c r="A30" s="1" t="s">
        <v>12</v>
      </c>
      <c r="B30" s="1" t="s">
        <v>40</v>
      </c>
      <c r="C30" s="3"/>
      <c r="E30" s="8"/>
      <c r="F30" s="8"/>
      <c r="G30" s="3"/>
      <c r="H30" s="5"/>
      <c r="I30" s="6" t="str">
        <f>IFERROR(__xludf.DUMMYFUNCTION("INDEX(GOOGLEFINANCE(""CURRENCY:USDEUR"", ""price"", E31), 2, 2)"),"#N/A")</f>
        <v>#N/A</v>
      </c>
      <c r="J30" s="7" t="str">
        <f>IFERROR(__xludf.DUMMYFUNCTION("INDEX(GOOGLEFINANCE(""CURRENCY:USDEUR"", ""price"", F30), 2, 2)"),"#N/A")</f>
        <v>#N/A</v>
      </c>
      <c r="K30" s="7" t="str">
        <f t="shared" si="3"/>
        <v>#N/A</v>
      </c>
      <c r="L30" s="7" t="str">
        <f t="shared" si="4"/>
        <v>#N/A</v>
      </c>
      <c r="M30" s="5"/>
      <c r="N30" s="5"/>
      <c r="O30" s="5"/>
      <c r="P30" s="5"/>
      <c r="Q30" s="5"/>
      <c r="R30" s="5"/>
    </row>
    <row r="31">
      <c r="A31" s="1" t="s">
        <v>12</v>
      </c>
      <c r="B31" s="1" t="s">
        <v>45</v>
      </c>
      <c r="C31" s="3"/>
      <c r="E31" s="8"/>
      <c r="F31" s="8"/>
      <c r="G31" s="3"/>
      <c r="H31" s="5"/>
      <c r="I31" s="6" t="str">
        <f>IFERROR(__xludf.DUMMYFUNCTION("INDEX(GOOGLEFINANCE(""CURRENCY:USDEUR"", ""price"", E32), 2, 2)"),"#N/A")</f>
        <v>#N/A</v>
      </c>
      <c r="J31" s="7" t="str">
        <f>IFERROR(__xludf.DUMMYFUNCTION("INDEX(GOOGLEFINANCE(""CURRENCY:USDEUR"", ""price"", F31), 2, 2)"),"#N/A")</f>
        <v>#N/A</v>
      </c>
      <c r="K31" s="7" t="str">
        <f t="shared" si="3"/>
        <v>#N/A</v>
      </c>
      <c r="L31" s="7" t="str">
        <f t="shared" si="4"/>
        <v>#N/A</v>
      </c>
      <c r="M31" s="5"/>
      <c r="N31" s="5"/>
      <c r="O31" s="5"/>
      <c r="P31" s="5"/>
      <c r="Q31" s="5"/>
      <c r="R31" s="5"/>
    </row>
    <row r="32">
      <c r="A32" s="1" t="s">
        <v>12</v>
      </c>
      <c r="B32" s="1" t="s">
        <v>46</v>
      </c>
      <c r="C32" s="3"/>
      <c r="E32" s="8"/>
      <c r="F32" s="8"/>
      <c r="G32" s="3"/>
      <c r="H32" s="5"/>
      <c r="I32" s="6" t="str">
        <f>IFERROR(__xludf.DUMMYFUNCTION("INDEX(GOOGLEFINANCE(""CURRENCY:USDEUR"", ""price"", E32), 2, 2)"),"#N/A")</f>
        <v>#N/A</v>
      </c>
      <c r="J32" s="7" t="str">
        <f>IFERROR(__xludf.DUMMYFUNCTION("INDEX(GOOGLEFINANCE(""CURRENCY:USDEUR"", ""price"", F32), 2, 2)"),"#N/A")</f>
        <v>#N/A</v>
      </c>
      <c r="K32" s="7" t="str">
        <f t="shared" si="3"/>
        <v>#N/A</v>
      </c>
      <c r="L32" s="7" t="str">
        <f t="shared" si="4"/>
        <v>#N/A</v>
      </c>
      <c r="M32" s="5"/>
      <c r="N32" s="5"/>
      <c r="O32" s="5"/>
      <c r="P32" s="5"/>
      <c r="Q32" s="5"/>
      <c r="R32" s="5"/>
    </row>
    <row r="33">
      <c r="A33" s="1" t="s">
        <v>12</v>
      </c>
      <c r="B33" s="1" t="s">
        <v>27</v>
      </c>
      <c r="C33" s="3"/>
      <c r="E33" s="8"/>
      <c r="F33" s="8"/>
      <c r="G33" s="3"/>
      <c r="H33" s="5"/>
      <c r="I33" s="6" t="str">
        <f>IFERROR(__xludf.DUMMYFUNCTION("INDEX(GOOGLEFINANCE(""CURRENCY:USDEUR"", ""price"", E34), 2, 2)"),"#N/A")</f>
        <v>#N/A</v>
      </c>
      <c r="J33" s="7" t="str">
        <f>IFERROR(__xludf.DUMMYFUNCTION("INDEX(GOOGLEFINANCE(""CURRENCY:USDEUR"", ""price"", F33), 2, 2)"),"#N/A")</f>
        <v>#N/A</v>
      </c>
      <c r="K33" s="7" t="str">
        <f t="shared" si="3"/>
        <v>#N/A</v>
      </c>
      <c r="L33" s="7" t="str">
        <f t="shared" si="4"/>
        <v>#N/A</v>
      </c>
      <c r="M33" s="5"/>
      <c r="N33" s="5"/>
      <c r="O33" s="5"/>
      <c r="P33" s="5"/>
      <c r="Q33" s="5"/>
      <c r="R33" s="5"/>
    </row>
    <row r="34">
      <c r="A34" s="1" t="s">
        <v>12</v>
      </c>
      <c r="B34" s="9" t="s">
        <v>47</v>
      </c>
      <c r="C34" s="10"/>
      <c r="D34" s="9"/>
      <c r="E34" s="11"/>
      <c r="F34" s="11"/>
      <c r="G34" s="10"/>
      <c r="H34" s="12"/>
      <c r="I34" s="13" t="str">
        <f>IFERROR(__xludf.DUMMYFUNCTION("INDEX(GOOGLEFINANCE(""CURRENCY:USDEUR"", ""price"", E35), 2, 2)"),"#N/A")</f>
        <v>#N/A</v>
      </c>
      <c r="J34" s="14" t="str">
        <f>IFERROR(__xludf.DUMMYFUNCTION("INDEX(GOOGLEFINANCE(""CURRENCY:USDEUR"", ""price"", F34), 2, 2)"),"#N/A")</f>
        <v>#N/A</v>
      </c>
      <c r="K34" s="14" t="str">
        <f>C34</f>
        <v/>
      </c>
      <c r="L34" s="14">
        <f>(C34 + G34)</f>
        <v>0</v>
      </c>
      <c r="M34" s="5"/>
      <c r="N34" s="5"/>
      <c r="O34" s="5"/>
      <c r="P34" s="5"/>
      <c r="Q34" s="5"/>
      <c r="R34" s="5"/>
    </row>
    <row r="35">
      <c r="A35" s="1" t="s">
        <v>12</v>
      </c>
      <c r="B35" s="1" t="s">
        <v>48</v>
      </c>
      <c r="C35" s="3"/>
      <c r="E35" s="8"/>
      <c r="F35" s="8"/>
      <c r="G35" s="3"/>
      <c r="H35" s="5"/>
      <c r="I35" s="6" t="str">
        <f>IFERROR(__xludf.DUMMYFUNCTION("INDEX(GOOGLEFINANCE(""CURRENCY:USDEUR"", ""price"", E35), 2, 2)"),"#N/A")</f>
        <v>#N/A</v>
      </c>
      <c r="J35" s="7" t="str">
        <f>IFERROR(__xludf.DUMMYFUNCTION("INDEX(GOOGLEFINANCE(""CURRENCY:USDEUR"", ""price"", F35), 2, 2)"),"#N/A")</f>
        <v>#N/A</v>
      </c>
      <c r="K35" s="7" t="str">
        <f t="shared" ref="K35:K42" si="5">C35 * I35</f>
        <v>#N/A</v>
      </c>
      <c r="L35" s="7" t="str">
        <f t="shared" ref="L35:L42" si="6">(C35 + G35) * J35</f>
        <v>#N/A</v>
      </c>
      <c r="M35" s="5"/>
      <c r="N35" s="5"/>
      <c r="O35" s="5"/>
      <c r="P35" s="5"/>
      <c r="Q35" s="5"/>
      <c r="R35" s="5"/>
    </row>
    <row r="36">
      <c r="A36" s="1" t="s">
        <v>12</v>
      </c>
      <c r="B36" s="1" t="s">
        <v>24</v>
      </c>
      <c r="C36" s="3"/>
      <c r="E36" s="8"/>
      <c r="F36" s="8"/>
      <c r="G36" s="3"/>
      <c r="H36" s="5"/>
      <c r="I36" s="6" t="str">
        <f>IFERROR(__xludf.DUMMYFUNCTION("INDEX(GOOGLEFINANCE(""CURRENCY:USDEUR"", ""price"", E37), 2, 2)"),"#N/A")</f>
        <v>#N/A</v>
      </c>
      <c r="J36" s="7" t="str">
        <f>IFERROR(__xludf.DUMMYFUNCTION("INDEX(GOOGLEFINANCE(""CURRENCY:USDEUR"", ""price"", F36), 2, 2)"),"#N/A")</f>
        <v>#N/A</v>
      </c>
      <c r="K36" s="7" t="str">
        <f t="shared" si="5"/>
        <v>#N/A</v>
      </c>
      <c r="L36" s="7" t="str">
        <f t="shared" si="6"/>
        <v>#N/A</v>
      </c>
      <c r="M36" s="5"/>
      <c r="N36" s="5"/>
      <c r="O36" s="5"/>
      <c r="P36" s="5"/>
      <c r="Q36" s="5"/>
      <c r="R36" s="5"/>
    </row>
    <row r="37">
      <c r="A37" s="1" t="s">
        <v>12</v>
      </c>
      <c r="B37" s="1" t="s">
        <v>49</v>
      </c>
      <c r="C37" s="3"/>
      <c r="E37" s="8"/>
      <c r="F37" s="8"/>
      <c r="G37" s="3"/>
      <c r="H37" s="5"/>
      <c r="I37" s="6" t="str">
        <f>IFERROR(__xludf.DUMMYFUNCTION("INDEX(GOOGLEFINANCE(""CURRENCY:USDEUR"", ""price"", E38), 2, 2)"),"#N/A")</f>
        <v>#N/A</v>
      </c>
      <c r="J37" s="7" t="str">
        <f>IFERROR(__xludf.DUMMYFUNCTION("INDEX(GOOGLEFINANCE(""CURRENCY:USDEUR"", ""price"", F37), 2, 2)"),"#N/A")</f>
        <v>#N/A</v>
      </c>
      <c r="K37" s="7" t="str">
        <f t="shared" si="5"/>
        <v>#N/A</v>
      </c>
      <c r="L37" s="7" t="str">
        <f t="shared" si="6"/>
        <v>#N/A</v>
      </c>
      <c r="M37" s="5"/>
      <c r="N37" s="5"/>
      <c r="O37" s="5"/>
      <c r="P37" s="5"/>
      <c r="Q37" s="5"/>
      <c r="R37" s="5"/>
    </row>
    <row r="38">
      <c r="A38" s="1" t="s">
        <v>12</v>
      </c>
      <c r="B38" s="1" t="s">
        <v>50</v>
      </c>
      <c r="C38" s="3"/>
      <c r="E38" s="8"/>
      <c r="F38" s="8"/>
      <c r="G38" s="3"/>
      <c r="H38" s="5"/>
      <c r="I38" s="6" t="str">
        <f>IFERROR(__xludf.DUMMYFUNCTION("INDEX(GOOGLEFINANCE(""CURRENCY:USDEUR"", ""price"", E38), 2, 2)"),"#N/A")</f>
        <v>#N/A</v>
      </c>
      <c r="J38" s="7" t="str">
        <f>IFERROR(__xludf.DUMMYFUNCTION("INDEX(GOOGLEFINANCE(""CURRENCY:USDEUR"", ""price"", F38), 2, 2)"),"#N/A")</f>
        <v>#N/A</v>
      </c>
      <c r="K38" s="7" t="str">
        <f t="shared" si="5"/>
        <v>#N/A</v>
      </c>
      <c r="L38" s="7" t="str">
        <f t="shared" si="6"/>
        <v>#N/A</v>
      </c>
      <c r="M38" s="5"/>
      <c r="N38" s="5"/>
      <c r="O38" s="5"/>
      <c r="P38" s="5"/>
      <c r="Q38" s="5"/>
      <c r="R38" s="5"/>
    </row>
    <row r="39">
      <c r="A39" s="1" t="s">
        <v>12</v>
      </c>
      <c r="B39" s="1" t="s">
        <v>48</v>
      </c>
      <c r="C39" s="3"/>
      <c r="E39" s="8"/>
      <c r="F39" s="8"/>
      <c r="G39" s="3"/>
      <c r="H39" s="5"/>
      <c r="I39" s="6" t="str">
        <f>IFERROR(__xludf.DUMMYFUNCTION("INDEX(GOOGLEFINANCE(""CURRENCY:USDEUR"", ""price"", E40), 2, 2)"),"#N/A")</f>
        <v>#N/A</v>
      </c>
      <c r="J39" s="7" t="str">
        <f>IFERROR(__xludf.DUMMYFUNCTION("INDEX(GOOGLEFINANCE(""CURRENCY:USDEUR"", ""price"", F39), 2, 2)"),"#N/A")</f>
        <v>#N/A</v>
      </c>
      <c r="K39" s="7" t="str">
        <f t="shared" si="5"/>
        <v>#N/A</v>
      </c>
      <c r="L39" s="7" t="str">
        <f t="shared" si="6"/>
        <v>#N/A</v>
      </c>
      <c r="M39" s="5"/>
      <c r="N39" s="5"/>
      <c r="O39" s="5"/>
      <c r="P39" s="5"/>
      <c r="Q39" s="5"/>
      <c r="R39" s="5"/>
    </row>
    <row r="40">
      <c r="A40" s="1" t="s">
        <v>12</v>
      </c>
      <c r="B40" s="1" t="s">
        <v>51</v>
      </c>
      <c r="C40" s="3"/>
      <c r="E40" s="4"/>
      <c r="F40" s="4"/>
      <c r="G40" s="3"/>
      <c r="H40" s="5"/>
      <c r="I40" s="6" t="str">
        <f>IFERROR(__xludf.DUMMYFUNCTION("INDEX(GOOGLEFINANCE(""CURRENCY:USDEUR"", ""price"", E41), 2, 2)"),"#N/A")</f>
        <v>#N/A</v>
      </c>
      <c r="J40" s="7" t="str">
        <f>IFERROR(__xludf.DUMMYFUNCTION("INDEX(GOOGLEFINANCE(""CURRENCY:USDEUR"", ""price"", F40), 2, 2)"),"#N/A")</f>
        <v>#N/A</v>
      </c>
      <c r="K40" s="7" t="str">
        <f t="shared" si="5"/>
        <v>#N/A</v>
      </c>
      <c r="L40" s="7" t="str">
        <f t="shared" si="6"/>
        <v>#N/A</v>
      </c>
      <c r="M40" s="5"/>
      <c r="N40" s="5"/>
      <c r="O40" s="5"/>
      <c r="P40" s="5"/>
      <c r="Q40" s="5"/>
      <c r="R40" s="5"/>
    </row>
    <row r="41">
      <c r="A41" s="1" t="s">
        <v>12</v>
      </c>
      <c r="B41" s="1" t="s">
        <v>52</v>
      </c>
      <c r="C41" s="3"/>
      <c r="E41" s="8"/>
      <c r="F41" s="8"/>
      <c r="G41" s="3"/>
      <c r="H41" s="5"/>
      <c r="I41" s="6" t="str">
        <f>IFERROR(__xludf.DUMMYFUNCTION("INDEX(GOOGLEFINANCE(""CURRENCY:USDEUR"", ""price"", E41), 2, 2)"),"#N/A")</f>
        <v>#N/A</v>
      </c>
      <c r="J41" s="7" t="str">
        <f>IFERROR(__xludf.DUMMYFUNCTION("INDEX(GOOGLEFINANCE(""CURRENCY:USDEUR"", ""price"", F41), 2, 2)"),"#N/A")</f>
        <v>#N/A</v>
      </c>
      <c r="K41" s="7" t="str">
        <f t="shared" si="5"/>
        <v>#N/A</v>
      </c>
      <c r="L41" s="7" t="str">
        <f t="shared" si="6"/>
        <v>#N/A</v>
      </c>
      <c r="M41" s="5"/>
      <c r="N41" s="5"/>
      <c r="O41" s="5"/>
      <c r="P41" s="5"/>
      <c r="Q41" s="5"/>
      <c r="R41" s="5"/>
    </row>
    <row r="42">
      <c r="A42" s="1" t="s">
        <v>12</v>
      </c>
      <c r="B42" s="1" t="s">
        <v>53</v>
      </c>
      <c r="C42" s="3"/>
      <c r="E42" s="8"/>
      <c r="F42" s="8"/>
      <c r="G42" s="3"/>
      <c r="H42" s="5"/>
      <c r="I42" s="6" t="str">
        <f>IFERROR(__xludf.DUMMYFUNCTION("INDEX(GOOGLEFINANCE(""CURRENCY:USDEUR"", ""price"", E43), 2, 2)"),"#N/A")</f>
        <v>#N/A</v>
      </c>
      <c r="J42" s="7" t="str">
        <f>IFERROR(__xludf.DUMMYFUNCTION("INDEX(GOOGLEFINANCE(""CURRENCY:USDEUR"", ""price"", F42), 2, 2)"),"#N/A")</f>
        <v>#N/A</v>
      </c>
      <c r="K42" s="7" t="str">
        <f t="shared" si="5"/>
        <v>#N/A</v>
      </c>
      <c r="L42" s="7" t="str">
        <f t="shared" si="6"/>
        <v>#N/A</v>
      </c>
      <c r="M42" s="5"/>
      <c r="N42" s="5"/>
      <c r="O42" s="5"/>
      <c r="P42" s="5"/>
      <c r="Q42" s="5"/>
      <c r="R42" s="5"/>
    </row>
    <row r="43">
      <c r="A43" s="1" t="s">
        <v>12</v>
      </c>
      <c r="B43" s="9" t="s">
        <v>54</v>
      </c>
      <c r="C43" s="10"/>
      <c r="D43" s="9"/>
      <c r="E43" s="11"/>
      <c r="F43" s="11"/>
      <c r="G43" s="10"/>
      <c r="H43" s="12"/>
      <c r="I43" s="13" t="str">
        <f>IFERROR(__xludf.DUMMYFUNCTION("INDEX(GOOGLEFINANCE(""CURRENCY:USDEUR"", ""price"", E44), 2, 2)"),"#N/A")</f>
        <v>#N/A</v>
      </c>
      <c r="J43" s="14" t="str">
        <f>IFERROR(__xludf.DUMMYFUNCTION("INDEX(GOOGLEFINANCE(""CURRENCY:USDEUR"", ""price"", F43), 2, 2)"),"#N/A")</f>
        <v>#N/A</v>
      </c>
      <c r="K43" s="14" t="str">
        <f>C43</f>
        <v/>
      </c>
      <c r="L43" s="14">
        <f>(C43 + G43)</f>
        <v>0</v>
      </c>
      <c r="M43" s="5"/>
      <c r="N43" s="5"/>
      <c r="O43" s="5"/>
      <c r="P43" s="5"/>
      <c r="Q43" s="5"/>
      <c r="R43" s="5"/>
    </row>
    <row r="44">
      <c r="A44" s="1" t="s">
        <v>12</v>
      </c>
      <c r="B44" s="1" t="s">
        <v>55</v>
      </c>
      <c r="C44" s="3"/>
      <c r="E44" s="8"/>
      <c r="F44" s="8"/>
      <c r="G44" s="3"/>
      <c r="H44" s="5"/>
      <c r="I44" s="6" t="str">
        <f>IFERROR(__xludf.DUMMYFUNCTION("INDEX(GOOGLEFINANCE(""CURRENCY:USDEUR"", ""price"", E44), 2, 2)"),"#N/A")</f>
        <v>#N/A</v>
      </c>
      <c r="J44" s="7" t="str">
        <f>IFERROR(__xludf.DUMMYFUNCTION("INDEX(GOOGLEFINANCE(""CURRENCY:USDEUR"", ""price"", F44), 2, 2)"),"#N/A")</f>
        <v>#N/A</v>
      </c>
      <c r="K44" s="7" t="str">
        <f>C44 * I44</f>
        <v>#N/A</v>
      </c>
      <c r="L44" s="7" t="str">
        <f>(C44 + G44) * J44</f>
        <v>#N/A</v>
      </c>
      <c r="M44" s="5"/>
      <c r="N44" s="5"/>
      <c r="O44" s="5"/>
      <c r="P44" s="5"/>
      <c r="Q44" s="5"/>
      <c r="R44" s="5"/>
    </row>
    <row r="45">
      <c r="A45" s="1" t="s">
        <v>12</v>
      </c>
      <c r="B45" s="9" t="s">
        <v>56</v>
      </c>
      <c r="C45" s="10"/>
      <c r="D45" s="9"/>
      <c r="E45" s="11"/>
      <c r="F45" s="11"/>
      <c r="G45" s="10"/>
      <c r="H45" s="12"/>
      <c r="I45" s="13" t="str">
        <f>IFERROR(__xludf.DUMMYFUNCTION("INDEX(GOOGLEFINANCE(""CURRENCY:USDEUR"", ""price"", E46), 2, 2)"),"#N/A")</f>
        <v>#N/A</v>
      </c>
      <c r="J45" s="14" t="str">
        <f>IFERROR(__xludf.DUMMYFUNCTION("INDEX(GOOGLEFINANCE(""CURRENCY:USDEUR"", ""price"", F45), 2, 2)"),"#N/A")</f>
        <v>#N/A</v>
      </c>
      <c r="K45" s="14" t="str">
        <f>C45</f>
        <v/>
      </c>
      <c r="L45" s="14">
        <f>(C45 + G45)</f>
        <v>0</v>
      </c>
      <c r="M45" s="5"/>
      <c r="N45" s="5"/>
      <c r="O45" s="5"/>
      <c r="P45" s="5"/>
      <c r="Q45" s="5"/>
      <c r="R45" s="5"/>
    </row>
    <row r="46">
      <c r="A46" s="1" t="s">
        <v>12</v>
      </c>
      <c r="B46" s="1" t="s">
        <v>57</v>
      </c>
      <c r="C46" s="3"/>
      <c r="E46" s="8"/>
      <c r="F46" s="8"/>
      <c r="G46" s="3"/>
      <c r="H46" s="5"/>
      <c r="I46" s="6" t="str">
        <f>IFERROR(__xludf.DUMMYFUNCTION("INDEX(GOOGLEFINANCE(""CURRENCY:USDEUR"", ""price"", E47), 2, 2)"),"#N/A")</f>
        <v>#N/A</v>
      </c>
      <c r="J46" s="7" t="str">
        <f>IFERROR(__xludf.DUMMYFUNCTION("INDEX(GOOGLEFINANCE(""CURRENCY:USDEUR"", ""price"", F46), 2, 2)"),"#N/A")</f>
        <v>#N/A</v>
      </c>
      <c r="K46" s="7" t="str">
        <f t="shared" ref="K46:K48" si="7">C46 * I46</f>
        <v>#N/A</v>
      </c>
      <c r="L46" s="7" t="str">
        <f t="shared" ref="L46:L48" si="8">(C46 + G46) * J46</f>
        <v>#N/A</v>
      </c>
      <c r="M46" s="5"/>
      <c r="N46" s="5"/>
      <c r="O46" s="5"/>
      <c r="P46" s="5"/>
      <c r="Q46" s="5"/>
      <c r="R46" s="5"/>
    </row>
    <row r="47">
      <c r="A47" s="1" t="s">
        <v>12</v>
      </c>
      <c r="B47" s="1" t="s">
        <v>58</v>
      </c>
      <c r="C47" s="3"/>
      <c r="E47" s="8"/>
      <c r="F47" s="8"/>
      <c r="G47" s="3"/>
      <c r="H47" s="5"/>
      <c r="I47" s="6" t="str">
        <f>IFERROR(__xludf.DUMMYFUNCTION("INDEX(GOOGLEFINANCE(""CURRENCY:USDEUR"", ""price"", E47), 2, 2)"),"#N/A")</f>
        <v>#N/A</v>
      </c>
      <c r="J47" s="7" t="str">
        <f>IFERROR(__xludf.DUMMYFUNCTION("INDEX(GOOGLEFINANCE(""CURRENCY:USDEUR"", ""price"", F47), 2, 2)"),"#N/A")</f>
        <v>#N/A</v>
      </c>
      <c r="K47" s="7" t="str">
        <f t="shared" si="7"/>
        <v>#N/A</v>
      </c>
      <c r="L47" s="7" t="str">
        <f t="shared" si="8"/>
        <v>#N/A</v>
      </c>
      <c r="M47" s="5"/>
      <c r="N47" s="5"/>
      <c r="O47" s="5"/>
      <c r="P47" s="5"/>
      <c r="Q47" s="5"/>
      <c r="R47" s="5"/>
    </row>
    <row r="48">
      <c r="A48" s="1" t="s">
        <v>12</v>
      </c>
      <c r="B48" s="1" t="s">
        <v>59</v>
      </c>
      <c r="C48" s="3"/>
      <c r="E48" s="4"/>
      <c r="F48" s="4"/>
      <c r="G48" s="3"/>
      <c r="H48" s="5"/>
      <c r="I48" s="6">
        <f>IFERROR(__xludf.DUMMYFUNCTION("INDEX(GOOGLEFINANCE(""CURRENCY:USDEUR"", ""price"", E49), 2, 2)"),0.95739)</f>
        <v>0.95739</v>
      </c>
      <c r="J48" s="7" t="str">
        <f>IFERROR(__xludf.DUMMYFUNCTION("INDEX(GOOGLEFINANCE(""CURRENCY:USDEUR"", ""price"", F48), 2, 2)"),"#N/A")</f>
        <v>#N/A</v>
      </c>
      <c r="K48" s="7">
        <f t="shared" si="7"/>
        <v>0</v>
      </c>
      <c r="L48" s="7" t="str">
        <f t="shared" si="8"/>
        <v>#N/A</v>
      </c>
      <c r="M48" s="5"/>
      <c r="N48" s="5"/>
      <c r="O48" s="5"/>
      <c r="P48" s="5"/>
      <c r="Q48" s="5"/>
      <c r="R48" s="5"/>
    </row>
    <row r="49">
      <c r="A49" s="15" t="s">
        <v>60</v>
      </c>
      <c r="B49" s="15" t="s">
        <v>61</v>
      </c>
      <c r="C49" s="16" t="s">
        <v>62</v>
      </c>
      <c r="D49" s="15">
        <v>2.0</v>
      </c>
      <c r="E49" s="17">
        <v>45684.0</v>
      </c>
      <c r="F49" s="17">
        <v>45684.0</v>
      </c>
      <c r="G49" s="16" t="s">
        <v>63</v>
      </c>
      <c r="H49" s="18" t="s">
        <v>64</v>
      </c>
      <c r="I49" s="6"/>
      <c r="J49" s="7"/>
      <c r="K49" s="5"/>
      <c r="L49" s="5"/>
      <c r="M49" s="5"/>
      <c r="N49" s="5"/>
      <c r="O49" s="5"/>
      <c r="P49" s="5"/>
      <c r="Q49" s="5"/>
      <c r="R49" s="5"/>
    </row>
    <row r="50">
      <c r="A50" s="15" t="s">
        <v>60</v>
      </c>
      <c r="B50" s="15" t="s">
        <v>65</v>
      </c>
      <c r="C50" s="16" t="s">
        <v>66</v>
      </c>
      <c r="D50" s="15">
        <v>2.0</v>
      </c>
      <c r="E50" s="17">
        <v>45679.0</v>
      </c>
      <c r="F50" s="17">
        <v>45691.0</v>
      </c>
      <c r="G50" s="16" t="s">
        <v>67</v>
      </c>
      <c r="H50" s="18" t="s">
        <v>68</v>
      </c>
      <c r="I50" s="6"/>
      <c r="J50" s="7"/>
      <c r="K50" s="5"/>
      <c r="L50" s="5"/>
      <c r="M50" s="5"/>
      <c r="N50" s="5"/>
      <c r="O50" s="5"/>
      <c r="P50" s="5"/>
      <c r="Q50" s="5"/>
      <c r="R50" s="5"/>
    </row>
    <row r="51">
      <c r="A51" s="15" t="s">
        <v>60</v>
      </c>
      <c r="B51" s="15" t="s">
        <v>69</v>
      </c>
      <c r="C51" s="16" t="s">
        <v>70</v>
      </c>
      <c r="D51" s="15">
        <v>1.0</v>
      </c>
      <c r="E51" s="17">
        <v>45684.0</v>
      </c>
      <c r="F51" s="17">
        <v>45706.0</v>
      </c>
      <c r="G51" s="16" t="s">
        <v>71</v>
      </c>
      <c r="H51" s="18" t="s">
        <v>72</v>
      </c>
      <c r="I51" s="6"/>
      <c r="J51" s="7"/>
      <c r="K51" s="5"/>
      <c r="L51" s="5"/>
      <c r="M51" s="5"/>
      <c r="N51" s="5"/>
      <c r="O51" s="5"/>
      <c r="P51" s="5"/>
      <c r="Q51" s="5"/>
      <c r="R51" s="5"/>
    </row>
    <row r="52">
      <c r="A52" s="1"/>
      <c r="B52" s="1"/>
      <c r="C52" s="3"/>
      <c r="D52" s="1"/>
      <c r="E52" s="4"/>
      <c r="F52" s="4"/>
      <c r="G52" s="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>
      <c r="A53" s="1"/>
      <c r="B53" s="1"/>
      <c r="C53" s="3"/>
      <c r="D53" s="1"/>
      <c r="E53" s="4"/>
      <c r="F53" s="4"/>
      <c r="G53" s="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>
      <c r="A54" s="1"/>
      <c r="B54" s="1"/>
      <c r="C54" s="3"/>
      <c r="D54" s="1"/>
      <c r="E54" s="4"/>
      <c r="F54" s="4"/>
      <c r="G54" s="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>
      <c r="A55" s="1"/>
      <c r="B55" s="1"/>
      <c r="C55" s="3"/>
      <c r="D55" s="1"/>
      <c r="E55" s="4"/>
      <c r="F55" s="4"/>
      <c r="G55" s="3"/>
      <c r="H55" s="5"/>
      <c r="I55" s="5"/>
      <c r="J55" s="5"/>
      <c r="K55" s="7" t="str">
        <f t="shared" ref="K55:L55" si="9">SUM(K2:K48)</f>
        <v>#N/A</v>
      </c>
      <c r="L55" s="7" t="str">
        <f t="shared" si="9"/>
        <v>#N/A</v>
      </c>
      <c r="M55" s="7" t="str">
        <f>SUM(K55-L55)</f>
        <v>#N/A</v>
      </c>
      <c r="N55" s="5"/>
      <c r="O55" s="5"/>
      <c r="P55" s="5"/>
      <c r="Q55" s="5"/>
      <c r="R55" s="5"/>
    </row>
    <row r="56">
      <c r="A56" s="1"/>
      <c r="B56" s="1"/>
      <c r="C56" s="3"/>
      <c r="D56" s="1"/>
      <c r="E56" s="4"/>
      <c r="F56" s="4"/>
      <c r="G56" s="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>
      <c r="A57" s="1"/>
      <c r="B57" s="1"/>
      <c r="C57" s="3"/>
      <c r="D57" s="1"/>
      <c r="E57" s="4"/>
      <c r="F57" s="4"/>
      <c r="G57" s="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73</v>
      </c>
      <c r="B1" s="19" t="s">
        <v>74</v>
      </c>
      <c r="C1" s="19" t="s">
        <v>75</v>
      </c>
      <c r="D1" s="19" t="s">
        <v>76</v>
      </c>
      <c r="E1" s="19" t="s">
        <v>77</v>
      </c>
      <c r="F1" s="19" t="s">
        <v>78</v>
      </c>
      <c r="G1" s="19" t="s">
        <v>79</v>
      </c>
      <c r="H1" s="19" t="s">
        <v>80</v>
      </c>
      <c r="I1" s="19" t="s">
        <v>81</v>
      </c>
      <c r="J1" s="19" t="s">
        <v>82</v>
      </c>
      <c r="K1" s="19" t="s">
        <v>83</v>
      </c>
      <c r="L1" s="19" t="s">
        <v>84</v>
      </c>
      <c r="M1" s="19" t="s">
        <v>85</v>
      </c>
      <c r="N1" s="19" t="s">
        <v>86</v>
      </c>
      <c r="O1" s="19" t="s">
        <v>87</v>
      </c>
      <c r="P1" s="19" t="s">
        <v>88</v>
      </c>
      <c r="Q1" s="19" t="s">
        <v>89</v>
      </c>
      <c r="R1" s="19" t="s">
        <v>90</v>
      </c>
      <c r="S1" s="19" t="s">
        <v>91</v>
      </c>
      <c r="T1" s="19" t="s">
        <v>92</v>
      </c>
      <c r="U1" s="19" t="s">
        <v>93</v>
      </c>
      <c r="V1" s="19" t="s">
        <v>94</v>
      </c>
      <c r="W1" s="19" t="s">
        <v>95</v>
      </c>
    </row>
    <row r="2">
      <c r="A2" s="20" t="s">
        <v>96</v>
      </c>
      <c r="B2" s="20" t="s">
        <v>13</v>
      </c>
      <c r="C2" s="20" t="s">
        <v>97</v>
      </c>
      <c r="D2" s="21">
        <v>802.0</v>
      </c>
      <c r="E2" s="20" t="s">
        <v>98</v>
      </c>
      <c r="F2" s="20" t="s">
        <v>99</v>
      </c>
      <c r="G2" s="20" t="s">
        <v>100</v>
      </c>
      <c r="H2" s="20" t="s">
        <v>101</v>
      </c>
      <c r="I2" s="21">
        <v>0.0</v>
      </c>
      <c r="J2" s="20" t="s">
        <v>102</v>
      </c>
      <c r="K2" s="21">
        <v>105.19</v>
      </c>
      <c r="L2" s="21">
        <v>89.55</v>
      </c>
      <c r="M2" s="20" t="s">
        <v>103</v>
      </c>
      <c r="N2" s="20" t="s">
        <v>103</v>
      </c>
      <c r="O2" s="21">
        <v>25.16</v>
      </c>
      <c r="P2" s="21">
        <v>28.46</v>
      </c>
      <c r="Q2" s="21">
        <v>0.0</v>
      </c>
      <c r="R2" s="21">
        <v>24.34</v>
      </c>
      <c r="S2" s="21">
        <v>0.0</v>
      </c>
      <c r="T2" s="20" t="s">
        <v>103</v>
      </c>
      <c r="U2" s="20" t="s">
        <v>104</v>
      </c>
      <c r="V2" s="20" t="s">
        <v>105</v>
      </c>
      <c r="W2" s="22" t="s">
        <v>106</v>
      </c>
    </row>
    <row r="3">
      <c r="A3" s="23" t="s">
        <v>107</v>
      </c>
      <c r="B3" s="23" t="s">
        <v>19</v>
      </c>
      <c r="C3" s="23" t="s">
        <v>97</v>
      </c>
      <c r="D3" s="24">
        <v>526.89</v>
      </c>
      <c r="E3" s="23" t="s">
        <v>108</v>
      </c>
      <c r="F3" s="23" t="s">
        <v>109</v>
      </c>
      <c r="G3" s="23" t="s">
        <v>110</v>
      </c>
      <c r="H3" s="23" t="s">
        <v>101</v>
      </c>
      <c r="I3" s="24">
        <v>0.0</v>
      </c>
      <c r="J3" s="23" t="s">
        <v>111</v>
      </c>
      <c r="K3" s="24">
        <v>-32.44</v>
      </c>
      <c r="L3" s="24">
        <v>-27.5</v>
      </c>
      <c r="M3" s="23" t="s">
        <v>103</v>
      </c>
      <c r="N3" s="23" t="s">
        <v>103</v>
      </c>
      <c r="O3" s="24">
        <v>9.31</v>
      </c>
      <c r="P3" s="24">
        <v>8.74</v>
      </c>
      <c r="Q3" s="24">
        <v>0.0</v>
      </c>
      <c r="R3" s="24">
        <v>8.74</v>
      </c>
      <c r="S3" s="24">
        <v>0.0</v>
      </c>
      <c r="T3" s="23" t="s">
        <v>103</v>
      </c>
      <c r="U3" s="23" t="s">
        <v>104</v>
      </c>
      <c r="V3" s="23" t="s">
        <v>112</v>
      </c>
      <c r="W3" s="25" t="s">
        <v>106</v>
      </c>
    </row>
    <row r="4">
      <c r="A4" s="20" t="s">
        <v>113</v>
      </c>
      <c r="B4" s="20" t="s">
        <v>21</v>
      </c>
      <c r="C4" s="20" t="s">
        <v>97</v>
      </c>
      <c r="D4" s="21">
        <v>518.92</v>
      </c>
      <c r="E4" s="20" t="s">
        <v>114</v>
      </c>
      <c r="F4" s="20" t="s">
        <v>115</v>
      </c>
      <c r="G4" s="20" t="s">
        <v>116</v>
      </c>
      <c r="H4" s="20" t="s">
        <v>101</v>
      </c>
      <c r="I4" s="21">
        <v>0.0</v>
      </c>
      <c r="J4" s="20" t="s">
        <v>117</v>
      </c>
      <c r="K4" s="21">
        <v>9.97</v>
      </c>
      <c r="L4" s="21">
        <v>8.48</v>
      </c>
      <c r="M4" s="20" t="s">
        <v>103</v>
      </c>
      <c r="N4" s="20" t="s">
        <v>103</v>
      </c>
      <c r="O4" s="21">
        <v>15.62</v>
      </c>
      <c r="P4" s="21">
        <v>15.92</v>
      </c>
      <c r="Q4" s="21">
        <v>0.0</v>
      </c>
      <c r="R4" s="21">
        <v>15.92</v>
      </c>
      <c r="S4" s="21">
        <v>0.0</v>
      </c>
      <c r="T4" s="20" t="s">
        <v>103</v>
      </c>
      <c r="U4" s="20" t="s">
        <v>104</v>
      </c>
      <c r="V4" s="20" t="s">
        <v>118</v>
      </c>
      <c r="W4" s="22" t="s">
        <v>106</v>
      </c>
    </row>
    <row r="5">
      <c r="A5" s="23" t="s">
        <v>119</v>
      </c>
      <c r="B5" s="23" t="s">
        <v>22</v>
      </c>
      <c r="C5" s="23" t="s">
        <v>97</v>
      </c>
      <c r="D5" s="24">
        <v>600.0</v>
      </c>
      <c r="E5" s="23" t="s">
        <v>120</v>
      </c>
      <c r="F5" s="23" t="s">
        <v>121</v>
      </c>
      <c r="G5" s="23" t="s">
        <v>122</v>
      </c>
      <c r="H5" s="23" t="s">
        <v>101</v>
      </c>
      <c r="I5" s="24">
        <v>0.0</v>
      </c>
      <c r="J5" s="23" t="s">
        <v>123</v>
      </c>
      <c r="K5" s="24">
        <v>27.53</v>
      </c>
      <c r="L5" s="24">
        <v>23.48</v>
      </c>
      <c r="M5" s="23" t="s">
        <v>103</v>
      </c>
      <c r="N5" s="23" t="s">
        <v>103</v>
      </c>
      <c r="O5" s="24">
        <v>66.92</v>
      </c>
      <c r="P5" s="24">
        <v>69.99</v>
      </c>
      <c r="Q5" s="24">
        <v>0.0</v>
      </c>
      <c r="R5" s="24">
        <v>62.58</v>
      </c>
      <c r="S5" s="24">
        <v>0.0</v>
      </c>
      <c r="T5" s="23" t="s">
        <v>103</v>
      </c>
      <c r="U5" s="23" t="s">
        <v>104</v>
      </c>
      <c r="V5" s="23" t="s">
        <v>124</v>
      </c>
      <c r="W5" s="25" t="s">
        <v>106</v>
      </c>
    </row>
    <row r="6">
      <c r="A6" s="20" t="s">
        <v>125</v>
      </c>
      <c r="B6" s="20" t="s">
        <v>23</v>
      </c>
      <c r="C6" s="20" t="s">
        <v>97</v>
      </c>
      <c r="D6" s="21">
        <v>717.0</v>
      </c>
      <c r="E6" s="20" t="s">
        <v>126</v>
      </c>
      <c r="F6" s="20" t="s">
        <v>127</v>
      </c>
      <c r="G6" s="20" t="s">
        <v>128</v>
      </c>
      <c r="H6" s="20" t="s">
        <v>101</v>
      </c>
      <c r="I6" s="21">
        <v>0.0</v>
      </c>
      <c r="J6" s="20" t="s">
        <v>123</v>
      </c>
      <c r="K6" s="21">
        <v>-63.72</v>
      </c>
      <c r="L6" s="21">
        <v>-55.32</v>
      </c>
      <c r="M6" s="20" t="s">
        <v>103</v>
      </c>
      <c r="N6" s="20" t="s">
        <v>103</v>
      </c>
      <c r="O6" s="21">
        <v>353.42</v>
      </c>
      <c r="P6" s="21">
        <v>322.01</v>
      </c>
      <c r="Q6" s="21">
        <v>0.0</v>
      </c>
      <c r="R6" s="21">
        <v>322.21</v>
      </c>
      <c r="S6" s="21">
        <v>0.0</v>
      </c>
      <c r="T6" s="20" t="s">
        <v>103</v>
      </c>
      <c r="U6" s="20" t="s">
        <v>104</v>
      </c>
      <c r="V6" s="20" t="s">
        <v>129</v>
      </c>
      <c r="W6" s="22" t="s">
        <v>106</v>
      </c>
    </row>
    <row r="7">
      <c r="A7" s="23" t="s">
        <v>130</v>
      </c>
      <c r="B7" s="23" t="s">
        <v>24</v>
      </c>
      <c r="C7" s="23" t="s">
        <v>97</v>
      </c>
      <c r="D7" s="24">
        <v>791.63</v>
      </c>
      <c r="E7" s="23" t="s">
        <v>131</v>
      </c>
      <c r="F7" s="23" t="s">
        <v>132</v>
      </c>
      <c r="G7" s="23" t="s">
        <v>133</v>
      </c>
      <c r="H7" s="23" t="s">
        <v>101</v>
      </c>
      <c r="I7" s="24">
        <v>0.0</v>
      </c>
      <c r="J7" s="23" t="s">
        <v>134</v>
      </c>
      <c r="K7" s="24">
        <v>-47.09</v>
      </c>
      <c r="L7" s="24">
        <v>-40.83</v>
      </c>
      <c r="M7" s="23" t="s">
        <v>103</v>
      </c>
      <c r="N7" s="23" t="s">
        <v>103</v>
      </c>
      <c r="O7" s="24">
        <v>528.24</v>
      </c>
      <c r="P7" s="24">
        <v>496.82</v>
      </c>
      <c r="Q7" s="24">
        <v>0.0</v>
      </c>
      <c r="R7" s="24">
        <v>496.88</v>
      </c>
      <c r="S7" s="24">
        <v>0.0</v>
      </c>
      <c r="T7" s="23" t="s">
        <v>103</v>
      </c>
      <c r="U7" s="23" t="s">
        <v>104</v>
      </c>
      <c r="V7" s="23" t="s">
        <v>135</v>
      </c>
      <c r="W7" s="25" t="s">
        <v>106</v>
      </c>
    </row>
    <row r="8">
      <c r="A8" s="20" t="s">
        <v>136</v>
      </c>
      <c r="B8" s="20" t="s">
        <v>25</v>
      </c>
      <c r="C8" s="20" t="s">
        <v>97</v>
      </c>
      <c r="D8" s="21">
        <v>832.0</v>
      </c>
      <c r="E8" s="20" t="s">
        <v>137</v>
      </c>
      <c r="F8" s="20" t="s">
        <v>138</v>
      </c>
      <c r="G8" s="20" t="s">
        <v>139</v>
      </c>
      <c r="H8" s="20" t="s">
        <v>101</v>
      </c>
      <c r="I8" s="21">
        <v>0.0</v>
      </c>
      <c r="J8" s="20" t="s">
        <v>140</v>
      </c>
      <c r="K8" s="21">
        <v>-71.48</v>
      </c>
      <c r="L8" s="21">
        <v>-61.46</v>
      </c>
      <c r="M8" s="20" t="s">
        <v>103</v>
      </c>
      <c r="N8" s="20" t="s">
        <v>103</v>
      </c>
      <c r="O8" s="21">
        <v>241.4</v>
      </c>
      <c r="P8" s="21">
        <v>220.66</v>
      </c>
      <c r="Q8" s="21">
        <v>0.0</v>
      </c>
      <c r="R8" s="21">
        <v>223.09</v>
      </c>
      <c r="S8" s="21">
        <v>0.0</v>
      </c>
      <c r="T8" s="20" t="s">
        <v>103</v>
      </c>
      <c r="U8" s="20" t="s">
        <v>104</v>
      </c>
      <c r="V8" s="20" t="s">
        <v>141</v>
      </c>
      <c r="W8" s="22" t="s">
        <v>106</v>
      </c>
    </row>
    <row r="9">
      <c r="A9" s="23" t="s">
        <v>142</v>
      </c>
      <c r="B9" s="23" t="s">
        <v>26</v>
      </c>
      <c r="C9" s="23" t="s">
        <v>97</v>
      </c>
      <c r="D9" s="24">
        <v>893.24</v>
      </c>
      <c r="E9" s="23" t="s">
        <v>143</v>
      </c>
      <c r="F9" s="23" t="s">
        <v>144</v>
      </c>
      <c r="G9" s="23" t="s">
        <v>145</v>
      </c>
      <c r="H9" s="23" t="s">
        <v>101</v>
      </c>
      <c r="I9" s="24">
        <v>0.0</v>
      </c>
      <c r="J9" s="23" t="s">
        <v>146</v>
      </c>
      <c r="K9" s="24">
        <v>-59.23</v>
      </c>
      <c r="L9" s="24">
        <v>-51.21</v>
      </c>
      <c r="M9" s="23" t="s">
        <v>103</v>
      </c>
      <c r="N9" s="23" t="s">
        <v>103</v>
      </c>
      <c r="O9" s="24">
        <v>108.44</v>
      </c>
      <c r="P9" s="24">
        <v>101.25</v>
      </c>
      <c r="Q9" s="24">
        <v>0.0</v>
      </c>
      <c r="R9" s="24">
        <v>101.41</v>
      </c>
      <c r="S9" s="24">
        <v>0.0</v>
      </c>
      <c r="T9" s="23" t="s">
        <v>103</v>
      </c>
      <c r="U9" s="23" t="s">
        <v>104</v>
      </c>
      <c r="V9" s="23" t="s">
        <v>147</v>
      </c>
      <c r="W9" s="25" t="s">
        <v>106</v>
      </c>
    </row>
    <row r="10">
      <c r="A10" s="20" t="s">
        <v>148</v>
      </c>
      <c r="B10" s="20" t="s">
        <v>27</v>
      </c>
      <c r="C10" s="20" t="s">
        <v>97</v>
      </c>
      <c r="D10" s="21">
        <v>980.0</v>
      </c>
      <c r="E10" s="20" t="s">
        <v>149</v>
      </c>
      <c r="F10" s="20" t="s">
        <v>150</v>
      </c>
      <c r="G10" s="20" t="s">
        <v>151</v>
      </c>
      <c r="H10" s="20" t="s">
        <v>101</v>
      </c>
      <c r="I10" s="21">
        <v>0.0</v>
      </c>
      <c r="J10" s="20" t="s">
        <v>146</v>
      </c>
      <c r="K10" s="21">
        <v>-85.69</v>
      </c>
      <c r="L10" s="21">
        <v>-74.31</v>
      </c>
      <c r="M10" s="20" t="s">
        <v>103</v>
      </c>
      <c r="N10" s="20" t="s">
        <v>103</v>
      </c>
      <c r="O10" s="21">
        <v>65.42</v>
      </c>
      <c r="P10" s="21">
        <v>59.7</v>
      </c>
      <c r="Q10" s="21">
        <v>0.0</v>
      </c>
      <c r="R10" s="21">
        <v>59.73</v>
      </c>
      <c r="S10" s="21">
        <v>0.0</v>
      </c>
      <c r="T10" s="20" t="s">
        <v>103</v>
      </c>
      <c r="U10" s="20" t="s">
        <v>104</v>
      </c>
      <c r="V10" s="20" t="s">
        <v>152</v>
      </c>
      <c r="W10" s="22" t="s">
        <v>106</v>
      </c>
    </row>
    <row r="11">
      <c r="A11" s="23" t="s">
        <v>153</v>
      </c>
      <c r="B11" s="23" t="s">
        <v>28</v>
      </c>
      <c r="C11" s="23" t="s">
        <v>97</v>
      </c>
      <c r="D11" s="24">
        <v>500.0</v>
      </c>
      <c r="E11" s="23" t="s">
        <v>154</v>
      </c>
      <c r="F11" s="23" t="s">
        <v>155</v>
      </c>
      <c r="G11" s="23" t="s">
        <v>156</v>
      </c>
      <c r="H11" s="23" t="s">
        <v>101</v>
      </c>
      <c r="I11" s="24">
        <v>0.0</v>
      </c>
      <c r="J11" s="23" t="s">
        <v>157</v>
      </c>
      <c r="K11" s="24">
        <v>-69.42</v>
      </c>
      <c r="L11" s="24">
        <v>-59.81</v>
      </c>
      <c r="M11" s="23" t="s">
        <v>103</v>
      </c>
      <c r="N11" s="23" t="s">
        <v>103</v>
      </c>
      <c r="O11" s="24">
        <v>7.13</v>
      </c>
      <c r="P11" s="24">
        <v>6.14</v>
      </c>
      <c r="Q11" s="24">
        <v>7.22</v>
      </c>
      <c r="R11" s="24">
        <v>0.0</v>
      </c>
      <c r="S11" s="24">
        <v>0.0</v>
      </c>
      <c r="T11" s="23" t="s">
        <v>103</v>
      </c>
      <c r="U11" s="23" t="s">
        <v>104</v>
      </c>
      <c r="V11" s="23" t="s">
        <v>158</v>
      </c>
      <c r="W11" s="25" t="s">
        <v>106</v>
      </c>
    </row>
    <row r="12">
      <c r="A12" s="20" t="s">
        <v>159</v>
      </c>
      <c r="B12" s="20" t="s">
        <v>28</v>
      </c>
      <c r="C12" s="20" t="s">
        <v>97</v>
      </c>
      <c r="D12" s="21">
        <v>355.0</v>
      </c>
      <c r="E12" s="20" t="s">
        <v>160</v>
      </c>
      <c r="F12" s="20" t="s">
        <v>161</v>
      </c>
      <c r="G12" s="20" t="s">
        <v>162</v>
      </c>
      <c r="H12" s="20" t="s">
        <v>101</v>
      </c>
      <c r="I12" s="21">
        <v>0.0</v>
      </c>
      <c r="J12" s="20" t="s">
        <v>163</v>
      </c>
      <c r="K12" s="21">
        <v>21.1</v>
      </c>
      <c r="L12" s="21">
        <v>18.18</v>
      </c>
      <c r="M12" s="20" t="s">
        <v>103</v>
      </c>
      <c r="N12" s="20" t="s">
        <v>103</v>
      </c>
      <c r="O12" s="21">
        <v>6.73</v>
      </c>
      <c r="P12" s="21">
        <v>7.13</v>
      </c>
      <c r="Q12" s="21">
        <v>7.13</v>
      </c>
      <c r="R12" s="21">
        <v>0.0</v>
      </c>
      <c r="S12" s="21">
        <v>0.0</v>
      </c>
      <c r="T12" s="20" t="s">
        <v>103</v>
      </c>
      <c r="U12" s="20" t="s">
        <v>104</v>
      </c>
      <c r="V12" s="20" t="s">
        <v>158</v>
      </c>
      <c r="W12" s="22" t="s">
        <v>106</v>
      </c>
    </row>
    <row r="13">
      <c r="A13" s="23" t="s">
        <v>164</v>
      </c>
      <c r="B13" s="23" t="s">
        <v>28</v>
      </c>
      <c r="C13" s="23" t="s">
        <v>97</v>
      </c>
      <c r="D13" s="24">
        <v>1000.24</v>
      </c>
      <c r="E13" s="23" t="s">
        <v>165</v>
      </c>
      <c r="F13" s="23" t="s">
        <v>166</v>
      </c>
      <c r="G13" s="23" t="s">
        <v>167</v>
      </c>
      <c r="H13" s="23" t="s">
        <v>101</v>
      </c>
      <c r="I13" s="24">
        <v>0.0</v>
      </c>
      <c r="J13" s="23" t="s">
        <v>168</v>
      </c>
      <c r="K13" s="24">
        <v>64.81</v>
      </c>
      <c r="L13" s="24">
        <v>55.84</v>
      </c>
      <c r="M13" s="23" t="s">
        <v>103</v>
      </c>
      <c r="N13" s="23" t="s">
        <v>103</v>
      </c>
      <c r="O13" s="24">
        <v>5.71</v>
      </c>
      <c r="P13" s="24">
        <v>6.08</v>
      </c>
      <c r="Q13" s="24">
        <v>6.08</v>
      </c>
      <c r="R13" s="24">
        <v>4.56</v>
      </c>
      <c r="S13" s="24">
        <v>0.0</v>
      </c>
      <c r="T13" s="23" t="s">
        <v>103</v>
      </c>
      <c r="U13" s="23" t="s">
        <v>104</v>
      </c>
      <c r="V13" s="23" t="s">
        <v>158</v>
      </c>
      <c r="W13" s="25" t="s">
        <v>106</v>
      </c>
    </row>
    <row r="14">
      <c r="A14" s="20" t="s">
        <v>169</v>
      </c>
      <c r="B14" s="20" t="s">
        <v>29</v>
      </c>
      <c r="C14" s="20" t="s">
        <v>97</v>
      </c>
      <c r="D14" s="21">
        <v>999.91</v>
      </c>
      <c r="E14" s="20" t="s">
        <v>170</v>
      </c>
      <c r="F14" s="20" t="s">
        <v>171</v>
      </c>
      <c r="G14" s="20" t="s">
        <v>172</v>
      </c>
      <c r="H14" s="20" t="s">
        <v>101</v>
      </c>
      <c r="I14" s="21">
        <v>0.0</v>
      </c>
      <c r="J14" s="20" t="s">
        <v>173</v>
      </c>
      <c r="K14" s="21">
        <v>-76.2</v>
      </c>
      <c r="L14" s="21">
        <v>-65.34</v>
      </c>
      <c r="M14" s="20" t="s">
        <v>103</v>
      </c>
      <c r="N14" s="20" t="s">
        <v>103</v>
      </c>
      <c r="O14" s="21">
        <v>140.05</v>
      </c>
      <c r="P14" s="21">
        <v>129.38</v>
      </c>
      <c r="Q14" s="21">
        <v>0.0</v>
      </c>
      <c r="R14" s="21">
        <v>129.43</v>
      </c>
      <c r="S14" s="21">
        <v>0.0</v>
      </c>
      <c r="T14" s="20" t="s">
        <v>103</v>
      </c>
      <c r="U14" s="20" t="s">
        <v>104</v>
      </c>
      <c r="V14" s="20" t="s">
        <v>174</v>
      </c>
      <c r="W14" s="22" t="s">
        <v>106</v>
      </c>
    </row>
    <row r="15">
      <c r="A15" s="23" t="s">
        <v>175</v>
      </c>
      <c r="B15" s="23" t="s">
        <v>30</v>
      </c>
      <c r="C15" s="23" t="s">
        <v>97</v>
      </c>
      <c r="D15" s="24">
        <v>1000.0</v>
      </c>
      <c r="E15" s="23" t="s">
        <v>176</v>
      </c>
      <c r="F15" s="23" t="s">
        <v>177</v>
      </c>
      <c r="G15" s="23" t="s">
        <v>178</v>
      </c>
      <c r="H15" s="23" t="s">
        <v>101</v>
      </c>
      <c r="I15" s="24">
        <v>0.0</v>
      </c>
      <c r="J15" s="23" t="s">
        <v>179</v>
      </c>
      <c r="K15" s="24">
        <v>-54.54</v>
      </c>
      <c r="L15" s="24">
        <v>-46.83</v>
      </c>
      <c r="M15" s="23" t="s">
        <v>103</v>
      </c>
      <c r="N15" s="23" t="s">
        <v>103</v>
      </c>
      <c r="O15" s="24">
        <v>215.45</v>
      </c>
      <c r="P15" s="24">
        <v>203.7</v>
      </c>
      <c r="Q15" s="24">
        <v>0.0</v>
      </c>
      <c r="R15" s="24">
        <v>203.7</v>
      </c>
      <c r="S15" s="24">
        <v>0.0</v>
      </c>
      <c r="T15" s="23" t="s">
        <v>103</v>
      </c>
      <c r="U15" s="23" t="s">
        <v>104</v>
      </c>
      <c r="V15" s="23" t="s">
        <v>180</v>
      </c>
      <c r="W15" s="25" t="s">
        <v>106</v>
      </c>
    </row>
    <row r="16">
      <c r="A16" s="20" t="s">
        <v>181</v>
      </c>
      <c r="B16" s="20" t="s">
        <v>31</v>
      </c>
      <c r="C16" s="20" t="s">
        <v>97</v>
      </c>
      <c r="D16" s="21">
        <v>584.0</v>
      </c>
      <c r="E16" s="20" t="s">
        <v>182</v>
      </c>
      <c r="F16" s="20" t="s">
        <v>183</v>
      </c>
      <c r="G16" s="20" t="s">
        <v>184</v>
      </c>
      <c r="H16" s="20" t="s">
        <v>101</v>
      </c>
      <c r="I16" s="21">
        <v>0.0</v>
      </c>
      <c r="J16" s="20" t="s">
        <v>185</v>
      </c>
      <c r="K16" s="21">
        <v>37.06</v>
      </c>
      <c r="L16" s="21">
        <v>31.94</v>
      </c>
      <c r="M16" s="20" t="s">
        <v>103</v>
      </c>
      <c r="N16" s="20" t="s">
        <v>103</v>
      </c>
      <c r="O16" s="21">
        <v>20.33</v>
      </c>
      <c r="P16" s="21">
        <v>21.62</v>
      </c>
      <c r="Q16" s="21">
        <v>21.62</v>
      </c>
      <c r="R16" s="21">
        <v>16.27</v>
      </c>
      <c r="S16" s="21">
        <v>0.0</v>
      </c>
      <c r="T16" s="20" t="s">
        <v>103</v>
      </c>
      <c r="U16" s="20" t="s">
        <v>104</v>
      </c>
      <c r="V16" s="20" t="s">
        <v>186</v>
      </c>
      <c r="W16" s="22" t="s">
        <v>106</v>
      </c>
    </row>
    <row r="17">
      <c r="A17" s="23" t="s">
        <v>187</v>
      </c>
      <c r="B17" s="23" t="s">
        <v>32</v>
      </c>
      <c r="C17" s="23" t="s">
        <v>97</v>
      </c>
      <c r="D17" s="24">
        <v>500.0</v>
      </c>
      <c r="E17" s="23" t="s">
        <v>188</v>
      </c>
      <c r="F17" s="23" t="s">
        <v>189</v>
      </c>
      <c r="G17" s="23" t="s">
        <v>190</v>
      </c>
      <c r="H17" s="23" t="s">
        <v>101</v>
      </c>
      <c r="I17" s="24">
        <v>0.0</v>
      </c>
      <c r="J17" s="23" t="s">
        <v>191</v>
      </c>
      <c r="K17" s="24">
        <v>22.36</v>
      </c>
      <c r="L17" s="24">
        <v>19.33</v>
      </c>
      <c r="M17" s="23" t="s">
        <v>103</v>
      </c>
      <c r="N17" s="23" t="s">
        <v>103</v>
      </c>
      <c r="O17" s="24">
        <v>5.59</v>
      </c>
      <c r="P17" s="24">
        <v>5.84</v>
      </c>
      <c r="Q17" s="24">
        <v>0.0</v>
      </c>
      <c r="R17" s="24">
        <v>5.84</v>
      </c>
      <c r="S17" s="24">
        <v>0.0</v>
      </c>
      <c r="T17" s="23" t="s">
        <v>103</v>
      </c>
      <c r="U17" s="23" t="s">
        <v>104</v>
      </c>
      <c r="V17" s="23" t="s">
        <v>192</v>
      </c>
      <c r="W17" s="25" t="s">
        <v>106</v>
      </c>
    </row>
    <row r="18">
      <c r="A18" s="20" t="s">
        <v>193</v>
      </c>
      <c r="B18" s="20" t="s">
        <v>33</v>
      </c>
      <c r="C18" s="20" t="s">
        <v>97</v>
      </c>
      <c r="D18" s="21">
        <v>870.0</v>
      </c>
      <c r="E18" s="20" t="s">
        <v>194</v>
      </c>
      <c r="F18" s="20" t="s">
        <v>195</v>
      </c>
      <c r="G18" s="20" t="s">
        <v>196</v>
      </c>
      <c r="H18" s="20" t="s">
        <v>101</v>
      </c>
      <c r="I18" s="21">
        <v>0.0</v>
      </c>
      <c r="J18" s="20" t="s">
        <v>197</v>
      </c>
      <c r="K18" s="21">
        <v>170.89</v>
      </c>
      <c r="L18" s="21">
        <v>146.95</v>
      </c>
      <c r="M18" s="20" t="s">
        <v>103</v>
      </c>
      <c r="N18" s="20" t="s">
        <v>103</v>
      </c>
      <c r="O18" s="21">
        <v>253.68</v>
      </c>
      <c r="P18" s="21">
        <v>303.51</v>
      </c>
      <c r="Q18" s="21">
        <v>0.0</v>
      </c>
      <c r="R18" s="21">
        <v>275.2</v>
      </c>
      <c r="S18" s="21">
        <v>2.23</v>
      </c>
      <c r="T18" s="20" t="s">
        <v>103</v>
      </c>
      <c r="U18" s="20" t="s">
        <v>104</v>
      </c>
      <c r="V18" s="20" t="s">
        <v>198</v>
      </c>
      <c r="W18" s="22" t="s">
        <v>106</v>
      </c>
    </row>
    <row r="19">
      <c r="A19" s="23" t="s">
        <v>199</v>
      </c>
      <c r="B19" s="23" t="s">
        <v>34</v>
      </c>
      <c r="C19" s="23" t="s">
        <v>97</v>
      </c>
      <c r="D19" s="24">
        <v>10.0</v>
      </c>
      <c r="E19" s="23" t="s">
        <v>200</v>
      </c>
      <c r="F19" s="23" t="s">
        <v>201</v>
      </c>
      <c r="G19" s="23" t="s">
        <v>202</v>
      </c>
      <c r="H19" s="23" t="s">
        <v>101</v>
      </c>
      <c r="I19" s="24">
        <v>0.0</v>
      </c>
      <c r="J19" s="23" t="s">
        <v>203</v>
      </c>
      <c r="K19" s="24">
        <v>3.84</v>
      </c>
      <c r="L19" s="24">
        <v>3.27</v>
      </c>
      <c r="M19" s="23" t="s">
        <v>204</v>
      </c>
      <c r="N19" s="23" t="s">
        <v>205</v>
      </c>
      <c r="O19" s="24">
        <v>11.8</v>
      </c>
      <c r="P19" s="24">
        <v>15.54</v>
      </c>
      <c r="Q19" s="24">
        <v>0.0</v>
      </c>
      <c r="R19" s="24">
        <v>15.66</v>
      </c>
      <c r="S19" s="24">
        <v>0.66</v>
      </c>
      <c r="T19" s="23" t="s">
        <v>103</v>
      </c>
      <c r="U19" s="23" t="s">
        <v>104</v>
      </c>
      <c r="V19" s="23" t="s">
        <v>206</v>
      </c>
      <c r="W19" s="25" t="s">
        <v>106</v>
      </c>
    </row>
    <row r="20">
      <c r="A20" s="20" t="s">
        <v>207</v>
      </c>
      <c r="B20" s="20" t="s">
        <v>35</v>
      </c>
      <c r="C20" s="20" t="s">
        <v>97</v>
      </c>
      <c r="D20" s="21">
        <v>666.0</v>
      </c>
      <c r="E20" s="20" t="s">
        <v>208</v>
      </c>
      <c r="F20" s="20" t="s">
        <v>209</v>
      </c>
      <c r="G20" s="20" t="s">
        <v>210</v>
      </c>
      <c r="H20" s="20" t="s">
        <v>101</v>
      </c>
      <c r="I20" s="21">
        <v>0.0</v>
      </c>
      <c r="J20" s="20" t="s">
        <v>211</v>
      </c>
      <c r="K20" s="21">
        <v>26.52</v>
      </c>
      <c r="L20" s="21">
        <v>22.74</v>
      </c>
      <c r="M20" s="20" t="s">
        <v>103</v>
      </c>
      <c r="N20" s="20" t="s">
        <v>103</v>
      </c>
      <c r="O20" s="21">
        <v>15.82</v>
      </c>
      <c r="P20" s="21">
        <v>16.45</v>
      </c>
      <c r="Q20" s="21">
        <v>0.0</v>
      </c>
      <c r="R20" s="21">
        <v>16.5</v>
      </c>
      <c r="S20" s="21">
        <v>0.0</v>
      </c>
      <c r="T20" s="20" t="s">
        <v>103</v>
      </c>
      <c r="U20" s="20" t="s">
        <v>104</v>
      </c>
      <c r="V20" s="20" t="s">
        <v>212</v>
      </c>
      <c r="W20" s="22" t="s">
        <v>106</v>
      </c>
    </row>
    <row r="21">
      <c r="A21" s="23" t="s">
        <v>213</v>
      </c>
      <c r="B21" s="23" t="s">
        <v>36</v>
      </c>
      <c r="C21" s="23" t="s">
        <v>97</v>
      </c>
      <c r="D21" s="24">
        <v>581.0</v>
      </c>
      <c r="E21" s="23" t="s">
        <v>214</v>
      </c>
      <c r="F21" s="23" t="s">
        <v>215</v>
      </c>
      <c r="G21" s="23" t="s">
        <v>216</v>
      </c>
      <c r="H21" s="23" t="s">
        <v>101</v>
      </c>
      <c r="I21" s="24">
        <v>0.0</v>
      </c>
      <c r="J21" s="23" t="s">
        <v>217</v>
      </c>
      <c r="K21" s="24">
        <v>6.2</v>
      </c>
      <c r="L21" s="24">
        <v>5.32</v>
      </c>
      <c r="M21" s="23" t="s">
        <v>103</v>
      </c>
      <c r="N21" s="23" t="s">
        <v>103</v>
      </c>
      <c r="O21" s="24">
        <v>119.06</v>
      </c>
      <c r="P21" s="24">
        <v>120.33</v>
      </c>
      <c r="Q21" s="24">
        <v>0.0</v>
      </c>
      <c r="R21" s="24">
        <v>120.38</v>
      </c>
      <c r="S21" s="24">
        <v>0.68</v>
      </c>
      <c r="T21" s="23" t="s">
        <v>103</v>
      </c>
      <c r="U21" s="23" t="s">
        <v>104</v>
      </c>
      <c r="V21" s="23" t="s">
        <v>218</v>
      </c>
      <c r="W21" s="25" t="s">
        <v>106</v>
      </c>
    </row>
    <row r="22">
      <c r="A22" s="20" t="s">
        <v>219</v>
      </c>
      <c r="B22" s="20" t="s">
        <v>37</v>
      </c>
      <c r="C22" s="20" t="s">
        <v>97</v>
      </c>
      <c r="D22" s="21">
        <v>650.0</v>
      </c>
      <c r="E22" s="20" t="s">
        <v>220</v>
      </c>
      <c r="F22" s="20" t="s">
        <v>221</v>
      </c>
      <c r="G22" s="20" t="s">
        <v>222</v>
      </c>
      <c r="H22" s="20" t="s">
        <v>101</v>
      </c>
      <c r="I22" s="21">
        <v>0.0</v>
      </c>
      <c r="J22" s="20" t="s">
        <v>223</v>
      </c>
      <c r="K22" s="21">
        <v>18.22</v>
      </c>
      <c r="L22" s="21">
        <v>15.41</v>
      </c>
      <c r="M22" s="20" t="s">
        <v>103</v>
      </c>
      <c r="N22" s="20" t="s">
        <v>103</v>
      </c>
      <c r="O22" s="21">
        <v>180.87</v>
      </c>
      <c r="P22" s="21">
        <v>185.94</v>
      </c>
      <c r="Q22" s="21">
        <v>0.0</v>
      </c>
      <c r="R22" s="21">
        <v>185.95</v>
      </c>
      <c r="S22" s="21">
        <v>0.0</v>
      </c>
      <c r="T22" s="20" t="s">
        <v>103</v>
      </c>
      <c r="U22" s="20" t="s">
        <v>104</v>
      </c>
      <c r="V22" s="20" t="s">
        <v>224</v>
      </c>
      <c r="W22" s="22" t="s">
        <v>106</v>
      </c>
    </row>
    <row r="23">
      <c r="A23" s="23" t="s">
        <v>225</v>
      </c>
      <c r="B23" s="23" t="s">
        <v>38</v>
      </c>
      <c r="C23" s="23" t="s">
        <v>97</v>
      </c>
      <c r="D23" s="24">
        <v>821.0</v>
      </c>
      <c r="E23" s="23" t="s">
        <v>226</v>
      </c>
      <c r="F23" s="23" t="s">
        <v>227</v>
      </c>
      <c r="G23" s="23" t="s">
        <v>228</v>
      </c>
      <c r="H23" s="23" t="s">
        <v>101</v>
      </c>
      <c r="I23" s="24">
        <v>0.0</v>
      </c>
      <c r="J23" s="23" t="s">
        <v>229</v>
      </c>
      <c r="K23" s="24">
        <v>50.67</v>
      </c>
      <c r="L23" s="24">
        <v>43.5</v>
      </c>
      <c r="M23" s="23" t="s">
        <v>103</v>
      </c>
      <c r="N23" s="23" t="s">
        <v>103</v>
      </c>
      <c r="O23" s="24">
        <v>23.17</v>
      </c>
      <c r="P23" s="24">
        <v>24.6</v>
      </c>
      <c r="Q23" s="24">
        <v>0.0</v>
      </c>
      <c r="R23" s="24">
        <v>24.6</v>
      </c>
      <c r="S23" s="24">
        <v>0.0</v>
      </c>
      <c r="T23" s="23" t="s">
        <v>103</v>
      </c>
      <c r="U23" s="23" t="s">
        <v>104</v>
      </c>
      <c r="V23" s="23" t="s">
        <v>230</v>
      </c>
      <c r="W23" s="25" t="s">
        <v>106</v>
      </c>
    </row>
    <row r="24">
      <c r="A24" s="20" t="s">
        <v>231</v>
      </c>
      <c r="B24" s="20" t="s">
        <v>39</v>
      </c>
      <c r="C24" s="20" t="s">
        <v>97</v>
      </c>
      <c r="D24" s="21">
        <v>507.0</v>
      </c>
      <c r="E24" s="20" t="s">
        <v>232</v>
      </c>
      <c r="F24" s="20" t="s">
        <v>233</v>
      </c>
      <c r="G24" s="20" t="s">
        <v>234</v>
      </c>
      <c r="H24" s="20" t="s">
        <v>101</v>
      </c>
      <c r="I24" s="21">
        <v>0.0</v>
      </c>
      <c r="J24" s="20" t="s">
        <v>235</v>
      </c>
      <c r="K24" s="21">
        <v>-27.91</v>
      </c>
      <c r="L24" s="21">
        <v>-23.97</v>
      </c>
      <c r="M24" s="20" t="s">
        <v>103</v>
      </c>
      <c r="N24" s="20" t="s">
        <v>103</v>
      </c>
      <c r="O24" s="21">
        <v>435.5</v>
      </c>
      <c r="P24" s="21">
        <v>411.53</v>
      </c>
      <c r="Q24" s="21">
        <v>0.0</v>
      </c>
      <c r="R24" s="21">
        <v>411.6</v>
      </c>
      <c r="S24" s="21">
        <v>0.0</v>
      </c>
      <c r="T24" s="20" t="s">
        <v>103</v>
      </c>
      <c r="U24" s="20" t="s">
        <v>104</v>
      </c>
      <c r="V24" s="20" t="s">
        <v>236</v>
      </c>
      <c r="W24" s="22" t="s">
        <v>106</v>
      </c>
    </row>
    <row r="25">
      <c r="A25" s="23" t="s">
        <v>237</v>
      </c>
      <c r="B25" s="23" t="s">
        <v>40</v>
      </c>
      <c r="C25" s="23" t="s">
        <v>97</v>
      </c>
      <c r="D25" s="24">
        <v>379.0</v>
      </c>
      <c r="E25" s="23" t="s">
        <v>238</v>
      </c>
      <c r="F25" s="23" t="s">
        <v>239</v>
      </c>
      <c r="G25" s="23" t="s">
        <v>240</v>
      </c>
      <c r="H25" s="23" t="s">
        <v>101</v>
      </c>
      <c r="I25" s="24">
        <v>0.0</v>
      </c>
      <c r="J25" s="23" t="s">
        <v>197</v>
      </c>
      <c r="K25" s="24">
        <v>-34.12</v>
      </c>
      <c r="L25" s="24">
        <v>-29.31</v>
      </c>
      <c r="M25" s="23" t="s">
        <v>103</v>
      </c>
      <c r="N25" s="23" t="s">
        <v>103</v>
      </c>
      <c r="O25" s="24">
        <v>46.76</v>
      </c>
      <c r="P25" s="24">
        <v>42.55</v>
      </c>
      <c r="Q25" s="24">
        <v>0.0</v>
      </c>
      <c r="R25" s="24">
        <v>42.57</v>
      </c>
      <c r="S25" s="24">
        <v>0.0</v>
      </c>
      <c r="T25" s="23" t="s">
        <v>103</v>
      </c>
      <c r="U25" s="23" t="s">
        <v>104</v>
      </c>
      <c r="V25" s="23" t="s">
        <v>241</v>
      </c>
      <c r="W25" s="25" t="s">
        <v>106</v>
      </c>
    </row>
    <row r="26">
      <c r="A26" s="20" t="s">
        <v>242</v>
      </c>
      <c r="B26" s="20" t="s">
        <v>41</v>
      </c>
      <c r="C26" s="20" t="s">
        <v>97</v>
      </c>
      <c r="D26" s="21">
        <v>332.0</v>
      </c>
      <c r="E26" s="20" t="s">
        <v>243</v>
      </c>
      <c r="F26" s="20" t="s">
        <v>244</v>
      </c>
      <c r="G26" s="20" t="s">
        <v>245</v>
      </c>
      <c r="H26" s="20" t="s">
        <v>101</v>
      </c>
      <c r="I26" s="21">
        <v>0.0</v>
      </c>
      <c r="J26" s="20" t="s">
        <v>246</v>
      </c>
      <c r="K26" s="21">
        <v>48.89</v>
      </c>
      <c r="L26" s="21">
        <v>41.9</v>
      </c>
      <c r="M26" s="20" t="s">
        <v>103</v>
      </c>
      <c r="N26" s="20" t="s">
        <v>103</v>
      </c>
      <c r="O26" s="21">
        <v>671.23</v>
      </c>
      <c r="P26" s="21">
        <v>770.07</v>
      </c>
      <c r="Q26" s="21">
        <v>0.0</v>
      </c>
      <c r="R26" s="21">
        <v>770.27</v>
      </c>
      <c r="S26" s="21">
        <v>0.22</v>
      </c>
      <c r="T26" s="20" t="s">
        <v>103</v>
      </c>
      <c r="U26" s="20" t="s">
        <v>104</v>
      </c>
      <c r="V26" s="20" t="s">
        <v>247</v>
      </c>
      <c r="W26" s="22" t="s">
        <v>106</v>
      </c>
    </row>
    <row r="27">
      <c r="A27" s="23" t="s">
        <v>248</v>
      </c>
      <c r="B27" s="23" t="s">
        <v>42</v>
      </c>
      <c r="C27" s="23" t="s">
        <v>97</v>
      </c>
      <c r="D27" s="24">
        <v>449.65</v>
      </c>
      <c r="E27" s="23" t="s">
        <v>249</v>
      </c>
      <c r="F27" s="23" t="s">
        <v>250</v>
      </c>
      <c r="G27" s="23" t="s">
        <v>251</v>
      </c>
      <c r="H27" s="23" t="s">
        <v>101</v>
      </c>
      <c r="I27" s="24">
        <v>0.0</v>
      </c>
      <c r="J27" s="23" t="s">
        <v>252</v>
      </c>
      <c r="K27" s="24">
        <v>16.65</v>
      </c>
      <c r="L27" s="24">
        <v>14.38</v>
      </c>
      <c r="M27" s="23" t="s">
        <v>103</v>
      </c>
      <c r="N27" s="23" t="s">
        <v>103</v>
      </c>
      <c r="O27" s="24">
        <v>6.35</v>
      </c>
      <c r="P27" s="24">
        <v>6.58</v>
      </c>
      <c r="Q27" s="24">
        <v>0.0</v>
      </c>
      <c r="R27" s="24">
        <v>6.58</v>
      </c>
      <c r="S27" s="24">
        <v>0.0</v>
      </c>
      <c r="T27" s="23" t="s">
        <v>103</v>
      </c>
      <c r="U27" s="23" t="s">
        <v>104</v>
      </c>
      <c r="V27" s="23" t="s">
        <v>253</v>
      </c>
      <c r="W27" s="25" t="s">
        <v>106</v>
      </c>
    </row>
    <row r="28">
      <c r="A28" s="20" t="s">
        <v>254</v>
      </c>
      <c r="B28" s="20" t="s">
        <v>43</v>
      </c>
      <c r="C28" s="20" t="s">
        <v>97</v>
      </c>
      <c r="D28" s="21">
        <v>600.0</v>
      </c>
      <c r="E28" s="20" t="s">
        <v>255</v>
      </c>
      <c r="F28" s="20" t="s">
        <v>256</v>
      </c>
      <c r="G28" s="20" t="s">
        <v>257</v>
      </c>
      <c r="H28" s="20" t="s">
        <v>101</v>
      </c>
      <c r="I28" s="21">
        <v>0.0</v>
      </c>
      <c r="J28" s="20" t="s">
        <v>258</v>
      </c>
      <c r="K28" s="21">
        <v>3.44</v>
      </c>
      <c r="L28" s="21">
        <v>2.97</v>
      </c>
      <c r="M28" s="20" t="s">
        <v>103</v>
      </c>
      <c r="N28" s="20" t="s">
        <v>103</v>
      </c>
      <c r="O28" s="21">
        <v>47.12</v>
      </c>
      <c r="P28" s="21">
        <v>47.39</v>
      </c>
      <c r="Q28" s="21">
        <v>0.0</v>
      </c>
      <c r="R28" s="21">
        <v>47.93</v>
      </c>
      <c r="S28" s="21">
        <v>0.0</v>
      </c>
      <c r="T28" s="20" t="s">
        <v>103</v>
      </c>
      <c r="U28" s="20" t="s">
        <v>104</v>
      </c>
      <c r="V28" s="20" t="s">
        <v>259</v>
      </c>
      <c r="W28" s="22" t="s">
        <v>106</v>
      </c>
    </row>
    <row r="29">
      <c r="A29" s="23" t="s">
        <v>260</v>
      </c>
      <c r="B29" s="23" t="s">
        <v>44</v>
      </c>
      <c r="C29" s="23" t="s">
        <v>97</v>
      </c>
      <c r="D29" s="24">
        <v>554.0</v>
      </c>
      <c r="E29" s="23" t="s">
        <v>261</v>
      </c>
      <c r="F29" s="23" t="s">
        <v>262</v>
      </c>
      <c r="G29" s="23" t="s">
        <v>263</v>
      </c>
      <c r="H29" s="23" t="s">
        <v>101</v>
      </c>
      <c r="I29" s="24">
        <v>0.0</v>
      </c>
      <c r="J29" s="23" t="s">
        <v>264</v>
      </c>
      <c r="K29" s="24">
        <v>78.63</v>
      </c>
      <c r="L29" s="24">
        <v>66.79</v>
      </c>
      <c r="M29" s="23" t="s">
        <v>103</v>
      </c>
      <c r="N29" s="23" t="s">
        <v>103</v>
      </c>
      <c r="O29" s="24">
        <v>24.66</v>
      </c>
      <c r="P29" s="24">
        <v>28.16</v>
      </c>
      <c r="Q29" s="24">
        <v>0.0</v>
      </c>
      <c r="R29" s="24">
        <v>28.65</v>
      </c>
      <c r="S29" s="24">
        <v>0.0</v>
      </c>
      <c r="T29" s="23" t="s">
        <v>103</v>
      </c>
      <c r="U29" s="23" t="s">
        <v>104</v>
      </c>
      <c r="V29" s="23" t="s">
        <v>265</v>
      </c>
      <c r="W29" s="25" t="s">
        <v>106</v>
      </c>
    </row>
    <row r="30">
      <c r="A30" s="20" t="s">
        <v>266</v>
      </c>
      <c r="B30" s="20" t="s">
        <v>40</v>
      </c>
      <c r="C30" s="20" t="s">
        <v>97</v>
      </c>
      <c r="D30" s="21">
        <v>300.0</v>
      </c>
      <c r="E30" s="20" t="s">
        <v>267</v>
      </c>
      <c r="F30" s="20" t="s">
        <v>268</v>
      </c>
      <c r="G30" s="20" t="s">
        <v>269</v>
      </c>
      <c r="H30" s="20" t="s">
        <v>101</v>
      </c>
      <c r="I30" s="21">
        <v>0.0</v>
      </c>
      <c r="J30" s="20" t="s">
        <v>270</v>
      </c>
      <c r="K30" s="21">
        <v>33.94</v>
      </c>
      <c r="L30" s="21">
        <v>29.91</v>
      </c>
      <c r="M30" s="20" t="s">
        <v>103</v>
      </c>
      <c r="N30" s="20" t="s">
        <v>103</v>
      </c>
      <c r="O30" s="21">
        <v>24.22</v>
      </c>
      <c r="P30" s="21">
        <v>26.96</v>
      </c>
      <c r="Q30" s="21">
        <v>0.0</v>
      </c>
      <c r="R30" s="21">
        <v>26.8</v>
      </c>
      <c r="S30" s="21">
        <v>0.0</v>
      </c>
      <c r="T30" s="20" t="s">
        <v>103</v>
      </c>
      <c r="U30" s="20" t="s">
        <v>104</v>
      </c>
      <c r="V30" s="20" t="s">
        <v>241</v>
      </c>
      <c r="W30" s="22" t="s">
        <v>106</v>
      </c>
    </row>
    <row r="31">
      <c r="A31" s="23" t="s">
        <v>271</v>
      </c>
      <c r="B31" s="23" t="s">
        <v>45</v>
      </c>
      <c r="C31" s="23" t="s">
        <v>97</v>
      </c>
      <c r="D31" s="24">
        <v>369.0</v>
      </c>
      <c r="E31" s="23" t="s">
        <v>272</v>
      </c>
      <c r="F31" s="23" t="s">
        <v>273</v>
      </c>
      <c r="G31" s="23" t="s">
        <v>274</v>
      </c>
      <c r="H31" s="23" t="s">
        <v>101</v>
      </c>
      <c r="I31" s="24">
        <v>0.0</v>
      </c>
      <c r="J31" s="23" t="s">
        <v>275</v>
      </c>
      <c r="K31" s="24">
        <v>8.76</v>
      </c>
      <c r="L31" s="24">
        <v>7.83</v>
      </c>
      <c r="M31" s="23" t="s">
        <v>103</v>
      </c>
      <c r="N31" s="23" t="s">
        <v>103</v>
      </c>
      <c r="O31" s="24">
        <v>223.35</v>
      </c>
      <c r="P31" s="24">
        <v>228.65</v>
      </c>
      <c r="Q31" s="24">
        <v>0.0</v>
      </c>
      <c r="R31" s="24">
        <v>205.25</v>
      </c>
      <c r="S31" s="24">
        <v>0.0</v>
      </c>
      <c r="T31" s="23" t="s">
        <v>103</v>
      </c>
      <c r="U31" s="23" t="s">
        <v>104</v>
      </c>
      <c r="V31" s="23" t="s">
        <v>276</v>
      </c>
      <c r="W31" s="25" t="s">
        <v>106</v>
      </c>
    </row>
    <row r="32">
      <c r="A32" s="20" t="s">
        <v>277</v>
      </c>
      <c r="B32" s="20" t="s">
        <v>46</v>
      </c>
      <c r="C32" s="20" t="s">
        <v>97</v>
      </c>
      <c r="D32" s="21">
        <v>473.0</v>
      </c>
      <c r="E32" s="20" t="s">
        <v>278</v>
      </c>
      <c r="F32" s="20" t="s">
        <v>279</v>
      </c>
      <c r="G32" s="20" t="s">
        <v>280</v>
      </c>
      <c r="H32" s="20" t="s">
        <v>101</v>
      </c>
      <c r="I32" s="21">
        <v>0.0</v>
      </c>
      <c r="J32" s="20" t="s">
        <v>281</v>
      </c>
      <c r="K32" s="21">
        <v>7.51</v>
      </c>
      <c r="L32" s="21">
        <v>6.77</v>
      </c>
      <c r="M32" s="20" t="s">
        <v>103</v>
      </c>
      <c r="N32" s="20" t="s">
        <v>103</v>
      </c>
      <c r="O32" s="21">
        <v>606.37</v>
      </c>
      <c r="P32" s="21">
        <v>616.0</v>
      </c>
      <c r="Q32" s="21">
        <v>0.0</v>
      </c>
      <c r="R32" s="21">
        <v>619.34</v>
      </c>
      <c r="S32" s="21">
        <v>0.0</v>
      </c>
      <c r="T32" s="20" t="s">
        <v>103</v>
      </c>
      <c r="U32" s="20" t="s">
        <v>104</v>
      </c>
      <c r="V32" s="20" t="s">
        <v>282</v>
      </c>
      <c r="W32" s="22" t="s">
        <v>106</v>
      </c>
    </row>
    <row r="33">
      <c r="A33" s="23" t="s">
        <v>283</v>
      </c>
      <c r="B33" s="23" t="s">
        <v>27</v>
      </c>
      <c r="C33" s="23" t="s">
        <v>97</v>
      </c>
      <c r="D33" s="24">
        <v>500.0</v>
      </c>
      <c r="E33" s="23" t="s">
        <v>284</v>
      </c>
      <c r="F33" s="23" t="s">
        <v>285</v>
      </c>
      <c r="G33" s="23" t="s">
        <v>286</v>
      </c>
      <c r="H33" s="23" t="s">
        <v>101</v>
      </c>
      <c r="I33" s="24">
        <v>0.0</v>
      </c>
      <c r="J33" s="23" t="s">
        <v>287</v>
      </c>
      <c r="K33" s="24">
        <v>-25.11</v>
      </c>
      <c r="L33" s="24">
        <v>-22.01</v>
      </c>
      <c r="M33" s="23" t="s">
        <v>103</v>
      </c>
      <c r="N33" s="23" t="s">
        <v>103</v>
      </c>
      <c r="O33" s="24">
        <v>37.44</v>
      </c>
      <c r="P33" s="24">
        <v>35.56</v>
      </c>
      <c r="Q33" s="24">
        <v>44.73</v>
      </c>
      <c r="R33" s="24">
        <v>35.56</v>
      </c>
      <c r="S33" s="24">
        <v>0.0</v>
      </c>
      <c r="T33" s="23" t="s">
        <v>103</v>
      </c>
      <c r="U33" s="23" t="s">
        <v>104</v>
      </c>
      <c r="V33" s="23" t="s">
        <v>152</v>
      </c>
      <c r="W33" s="25" t="s">
        <v>106</v>
      </c>
    </row>
    <row r="34">
      <c r="A34" s="20" t="s">
        <v>288</v>
      </c>
      <c r="B34" s="20" t="s">
        <v>47</v>
      </c>
      <c r="C34" s="20" t="s">
        <v>97</v>
      </c>
      <c r="D34" s="21">
        <v>550.0</v>
      </c>
      <c r="E34" s="20" t="s">
        <v>289</v>
      </c>
      <c r="F34" s="20" t="s">
        <v>290</v>
      </c>
      <c r="G34" s="20" t="s">
        <v>291</v>
      </c>
      <c r="H34" s="20" t="s">
        <v>101</v>
      </c>
      <c r="I34" s="21">
        <v>0.0</v>
      </c>
      <c r="J34" s="20" t="s">
        <v>292</v>
      </c>
      <c r="K34" s="21">
        <v>16.18</v>
      </c>
      <c r="L34" s="21">
        <v>14.82</v>
      </c>
      <c r="M34" s="20" t="s">
        <v>293</v>
      </c>
      <c r="N34" s="20" t="s">
        <v>294</v>
      </c>
      <c r="O34" s="21">
        <v>14.4</v>
      </c>
      <c r="P34" s="21">
        <v>14.61</v>
      </c>
      <c r="Q34" s="21">
        <v>18.05</v>
      </c>
      <c r="R34" s="21">
        <v>14.64</v>
      </c>
      <c r="S34" s="21">
        <v>0.0</v>
      </c>
      <c r="T34" s="20" t="s">
        <v>103</v>
      </c>
      <c r="U34" s="20" t="s">
        <v>104</v>
      </c>
      <c r="V34" s="20" t="s">
        <v>295</v>
      </c>
      <c r="W34" s="22" t="s">
        <v>106</v>
      </c>
    </row>
    <row r="35">
      <c r="A35" s="23" t="s">
        <v>296</v>
      </c>
      <c r="B35" s="23" t="s">
        <v>48</v>
      </c>
      <c r="C35" s="23" t="s">
        <v>97</v>
      </c>
      <c r="D35" s="24">
        <v>400.0</v>
      </c>
      <c r="E35" s="23" t="s">
        <v>297</v>
      </c>
      <c r="F35" s="23" t="s">
        <v>298</v>
      </c>
      <c r="G35" s="23" t="s">
        <v>299</v>
      </c>
      <c r="H35" s="23" t="s">
        <v>101</v>
      </c>
      <c r="I35" s="24">
        <v>0.0</v>
      </c>
      <c r="J35" s="23" t="s">
        <v>300</v>
      </c>
      <c r="K35" s="24">
        <v>-36.53</v>
      </c>
      <c r="L35" s="24">
        <v>-33.86</v>
      </c>
      <c r="M35" s="23" t="s">
        <v>103</v>
      </c>
      <c r="N35" s="23" t="s">
        <v>103</v>
      </c>
      <c r="O35" s="24">
        <v>34.05</v>
      </c>
      <c r="P35" s="24">
        <v>30.94</v>
      </c>
      <c r="Q35" s="24">
        <v>37.76</v>
      </c>
      <c r="R35" s="24">
        <v>30.96</v>
      </c>
      <c r="S35" s="24">
        <v>0.0</v>
      </c>
      <c r="T35" s="23" t="s">
        <v>103</v>
      </c>
      <c r="U35" s="23" t="s">
        <v>104</v>
      </c>
      <c r="V35" s="23" t="s">
        <v>301</v>
      </c>
      <c r="W35" s="25" t="s">
        <v>106</v>
      </c>
    </row>
    <row r="36">
      <c r="A36" s="20" t="s">
        <v>302</v>
      </c>
      <c r="B36" s="20" t="s">
        <v>24</v>
      </c>
      <c r="C36" s="20" t="s">
        <v>97</v>
      </c>
      <c r="D36" s="21">
        <v>187.0</v>
      </c>
      <c r="E36" s="20" t="s">
        <v>303</v>
      </c>
      <c r="F36" s="20" t="s">
        <v>304</v>
      </c>
      <c r="G36" s="20" t="s">
        <v>305</v>
      </c>
      <c r="H36" s="20" t="s">
        <v>101</v>
      </c>
      <c r="I36" s="21">
        <v>0.0</v>
      </c>
      <c r="J36" s="20" t="s">
        <v>306</v>
      </c>
      <c r="K36" s="21">
        <v>0.84</v>
      </c>
      <c r="L36" s="21">
        <v>0.8</v>
      </c>
      <c r="M36" s="20" t="s">
        <v>103</v>
      </c>
      <c r="N36" s="20" t="s">
        <v>103</v>
      </c>
      <c r="O36" s="21">
        <v>400.5</v>
      </c>
      <c r="P36" s="21">
        <v>402.3</v>
      </c>
      <c r="Q36" s="21">
        <v>502.2</v>
      </c>
      <c r="R36" s="21">
        <v>402.93</v>
      </c>
      <c r="S36" s="21">
        <v>0.0</v>
      </c>
      <c r="T36" s="20" t="s">
        <v>103</v>
      </c>
      <c r="U36" s="20" t="s">
        <v>104</v>
      </c>
      <c r="V36" s="20" t="s">
        <v>135</v>
      </c>
      <c r="W36" s="22" t="s">
        <v>106</v>
      </c>
    </row>
    <row r="37">
      <c r="A37" s="23" t="s">
        <v>307</v>
      </c>
      <c r="B37" s="23" t="s">
        <v>49</v>
      </c>
      <c r="C37" s="23" t="s">
        <v>97</v>
      </c>
      <c r="D37" s="24">
        <v>120.0</v>
      </c>
      <c r="E37" s="23" t="s">
        <v>308</v>
      </c>
      <c r="F37" s="23" t="s">
        <v>309</v>
      </c>
      <c r="G37" s="23" t="s">
        <v>310</v>
      </c>
      <c r="H37" s="23" t="s">
        <v>101</v>
      </c>
      <c r="I37" s="24">
        <v>0.0</v>
      </c>
      <c r="J37" s="23" t="s">
        <v>311</v>
      </c>
      <c r="K37" s="24">
        <v>-3.81</v>
      </c>
      <c r="L37" s="24">
        <v>-3.64</v>
      </c>
      <c r="M37" s="23" t="s">
        <v>103</v>
      </c>
      <c r="N37" s="23" t="s">
        <v>103</v>
      </c>
      <c r="O37" s="24">
        <v>18.58</v>
      </c>
      <c r="P37" s="24">
        <v>17.99</v>
      </c>
      <c r="Q37" s="24">
        <v>0.0</v>
      </c>
      <c r="R37" s="24">
        <v>17.05</v>
      </c>
      <c r="S37" s="24">
        <v>0.0</v>
      </c>
      <c r="T37" s="23" t="s">
        <v>103</v>
      </c>
      <c r="U37" s="23" t="s">
        <v>104</v>
      </c>
      <c r="V37" s="23" t="s">
        <v>312</v>
      </c>
      <c r="W37" s="25" t="s">
        <v>106</v>
      </c>
    </row>
    <row r="38">
      <c r="A38" s="20" t="s">
        <v>313</v>
      </c>
      <c r="B38" s="20" t="s">
        <v>50</v>
      </c>
      <c r="C38" s="20" t="s">
        <v>97</v>
      </c>
      <c r="D38" s="21">
        <v>400.0</v>
      </c>
      <c r="E38" s="20" t="s">
        <v>314</v>
      </c>
      <c r="F38" s="20" t="s">
        <v>315</v>
      </c>
      <c r="G38" s="20" t="s">
        <v>316</v>
      </c>
      <c r="H38" s="20" t="s">
        <v>101</v>
      </c>
      <c r="I38" s="21">
        <v>0.0</v>
      </c>
      <c r="J38" s="20" t="s">
        <v>235</v>
      </c>
      <c r="K38" s="21">
        <v>-24.58</v>
      </c>
      <c r="L38" s="21">
        <v>-23.41</v>
      </c>
      <c r="M38" s="20" t="s">
        <v>103</v>
      </c>
      <c r="N38" s="20" t="s">
        <v>103</v>
      </c>
      <c r="O38" s="21">
        <v>19.69</v>
      </c>
      <c r="P38" s="21">
        <v>18.48</v>
      </c>
      <c r="Q38" s="21">
        <v>0.0</v>
      </c>
      <c r="R38" s="21">
        <v>18.51</v>
      </c>
      <c r="S38" s="21">
        <v>0.0</v>
      </c>
      <c r="T38" s="20" t="s">
        <v>103</v>
      </c>
      <c r="U38" s="20" t="s">
        <v>104</v>
      </c>
      <c r="V38" s="20" t="s">
        <v>317</v>
      </c>
      <c r="W38" s="22" t="s">
        <v>106</v>
      </c>
    </row>
    <row r="39">
      <c r="A39" s="23" t="s">
        <v>318</v>
      </c>
      <c r="B39" s="23" t="s">
        <v>48</v>
      </c>
      <c r="C39" s="23" t="s">
        <v>97</v>
      </c>
      <c r="D39" s="24">
        <v>300.0</v>
      </c>
      <c r="E39" s="23" t="s">
        <v>319</v>
      </c>
      <c r="F39" s="23" t="s">
        <v>320</v>
      </c>
      <c r="G39" s="23" t="s">
        <v>321</v>
      </c>
      <c r="H39" s="23" t="s">
        <v>101</v>
      </c>
      <c r="I39" s="24">
        <v>0.0</v>
      </c>
      <c r="J39" s="23" t="s">
        <v>322</v>
      </c>
      <c r="K39" s="24">
        <v>58.99</v>
      </c>
      <c r="L39" s="24">
        <v>57.27</v>
      </c>
      <c r="M39" s="23" t="s">
        <v>103</v>
      </c>
      <c r="N39" s="23" t="s">
        <v>103</v>
      </c>
      <c r="O39" s="24">
        <v>26.75</v>
      </c>
      <c r="P39" s="24">
        <v>32.01</v>
      </c>
      <c r="Q39" s="24">
        <v>33.32</v>
      </c>
      <c r="R39" s="24">
        <v>32.0</v>
      </c>
      <c r="S39" s="24">
        <v>0.0</v>
      </c>
      <c r="T39" s="23" t="s">
        <v>103</v>
      </c>
      <c r="U39" s="23" t="s">
        <v>104</v>
      </c>
      <c r="V39" s="23" t="s">
        <v>301</v>
      </c>
      <c r="W39" s="25" t="s">
        <v>106</v>
      </c>
    </row>
    <row r="40">
      <c r="A40" s="20" t="s">
        <v>323</v>
      </c>
      <c r="B40" s="20" t="s">
        <v>51</v>
      </c>
      <c r="C40" s="20" t="s">
        <v>97</v>
      </c>
      <c r="D40" s="21">
        <v>20.34</v>
      </c>
      <c r="E40" s="20" t="s">
        <v>324</v>
      </c>
      <c r="F40" s="20" t="s">
        <v>325</v>
      </c>
      <c r="G40" s="20" t="s">
        <v>326</v>
      </c>
      <c r="H40" s="20" t="s">
        <v>101</v>
      </c>
      <c r="I40" s="21">
        <v>0.0</v>
      </c>
      <c r="J40" s="20" t="s">
        <v>327</v>
      </c>
      <c r="K40" s="21">
        <v>-0.26</v>
      </c>
      <c r="L40" s="21">
        <v>-0.25</v>
      </c>
      <c r="M40" s="20" t="s">
        <v>103</v>
      </c>
      <c r="N40" s="20" t="s">
        <v>103</v>
      </c>
      <c r="O40" s="21">
        <v>298.55</v>
      </c>
      <c r="P40" s="21">
        <v>294.69</v>
      </c>
      <c r="Q40" s="21">
        <v>0.0</v>
      </c>
      <c r="R40" s="21">
        <v>274.48</v>
      </c>
      <c r="S40" s="21">
        <v>0.1</v>
      </c>
      <c r="T40" s="20" t="s">
        <v>103</v>
      </c>
      <c r="U40" s="20" t="s">
        <v>104</v>
      </c>
      <c r="V40" s="20" t="s">
        <v>328</v>
      </c>
      <c r="W40" s="22" t="s">
        <v>106</v>
      </c>
    </row>
    <row r="41">
      <c r="A41" s="23" t="s">
        <v>329</v>
      </c>
      <c r="B41" s="23" t="s">
        <v>52</v>
      </c>
      <c r="C41" s="23" t="s">
        <v>97</v>
      </c>
      <c r="D41" s="24">
        <v>52.86</v>
      </c>
      <c r="E41" s="23" t="s">
        <v>330</v>
      </c>
      <c r="F41" s="23" t="s">
        <v>331</v>
      </c>
      <c r="G41" s="23" t="s">
        <v>332</v>
      </c>
      <c r="H41" s="23" t="s">
        <v>101</v>
      </c>
      <c r="I41" s="24">
        <v>0.0</v>
      </c>
      <c r="J41" s="23" t="s">
        <v>333</v>
      </c>
      <c r="K41" s="24">
        <v>-3.86</v>
      </c>
      <c r="L41" s="24">
        <v>-3.72</v>
      </c>
      <c r="M41" s="23" t="s">
        <v>103</v>
      </c>
      <c r="N41" s="23" t="s">
        <v>103</v>
      </c>
      <c r="O41" s="24">
        <v>78.23</v>
      </c>
      <c r="P41" s="24">
        <v>72.52</v>
      </c>
      <c r="Q41" s="24">
        <v>0.0</v>
      </c>
      <c r="R41" s="24">
        <v>72.52</v>
      </c>
      <c r="S41" s="24">
        <v>0.0</v>
      </c>
      <c r="T41" s="23" t="s">
        <v>103</v>
      </c>
      <c r="U41" s="23" t="s">
        <v>104</v>
      </c>
      <c r="V41" s="23" t="s">
        <v>334</v>
      </c>
      <c r="W41" s="25" t="s">
        <v>106</v>
      </c>
    </row>
    <row r="42">
      <c r="A42" s="20" t="s">
        <v>335</v>
      </c>
      <c r="B42" s="20" t="s">
        <v>53</v>
      </c>
      <c r="C42" s="20" t="s">
        <v>97</v>
      </c>
      <c r="D42" s="21">
        <v>80.0</v>
      </c>
      <c r="E42" s="20" t="s">
        <v>336</v>
      </c>
      <c r="F42" s="20" t="s">
        <v>337</v>
      </c>
      <c r="G42" s="20" t="s">
        <v>338</v>
      </c>
      <c r="H42" s="20" t="s">
        <v>101</v>
      </c>
      <c r="I42" s="21">
        <v>0.0</v>
      </c>
      <c r="J42" s="20" t="s">
        <v>246</v>
      </c>
      <c r="K42" s="21">
        <v>4.07</v>
      </c>
      <c r="L42" s="21">
        <v>3.92</v>
      </c>
      <c r="M42" s="20" t="s">
        <v>103</v>
      </c>
      <c r="N42" s="20" t="s">
        <v>103</v>
      </c>
      <c r="O42" s="21">
        <v>115.35</v>
      </c>
      <c r="P42" s="21">
        <v>121.22</v>
      </c>
      <c r="Q42" s="21">
        <v>130.85</v>
      </c>
      <c r="R42" s="21">
        <v>108.14</v>
      </c>
      <c r="S42" s="21">
        <v>0.0</v>
      </c>
      <c r="T42" s="20" t="s">
        <v>103</v>
      </c>
      <c r="U42" s="20" t="s">
        <v>104</v>
      </c>
      <c r="V42" s="20" t="s">
        <v>339</v>
      </c>
      <c r="W42" s="22" t="s">
        <v>106</v>
      </c>
    </row>
    <row r="43">
      <c r="A43" s="23" t="s">
        <v>340</v>
      </c>
      <c r="B43" s="23" t="s">
        <v>54</v>
      </c>
      <c r="C43" s="23" t="s">
        <v>97</v>
      </c>
      <c r="D43" s="24">
        <v>53.71</v>
      </c>
      <c r="E43" s="23" t="s">
        <v>341</v>
      </c>
      <c r="F43" s="23" t="s">
        <v>342</v>
      </c>
      <c r="G43" s="23" t="s">
        <v>343</v>
      </c>
      <c r="H43" s="23" t="s">
        <v>101</v>
      </c>
      <c r="I43" s="24">
        <v>0.0</v>
      </c>
      <c r="J43" s="23" t="s">
        <v>344</v>
      </c>
      <c r="K43" s="24">
        <v>-3.59</v>
      </c>
      <c r="L43" s="24">
        <v>-3.46</v>
      </c>
      <c r="M43" s="23" t="s">
        <v>345</v>
      </c>
      <c r="N43" s="23" t="s">
        <v>346</v>
      </c>
      <c r="O43" s="24">
        <v>110.35</v>
      </c>
      <c r="P43" s="24">
        <v>105.0</v>
      </c>
      <c r="Q43" s="24">
        <v>0.0</v>
      </c>
      <c r="R43" s="24">
        <v>100.76</v>
      </c>
      <c r="S43" s="24">
        <v>0.0</v>
      </c>
      <c r="T43" s="23" t="s">
        <v>103</v>
      </c>
      <c r="U43" s="23" t="s">
        <v>104</v>
      </c>
      <c r="V43" s="23" t="s">
        <v>347</v>
      </c>
      <c r="W43" s="25" t="s">
        <v>106</v>
      </c>
    </row>
    <row r="44">
      <c r="A44" s="20" t="s">
        <v>348</v>
      </c>
      <c r="B44" s="20" t="s">
        <v>55</v>
      </c>
      <c r="C44" s="20" t="s">
        <v>97</v>
      </c>
      <c r="D44" s="21">
        <v>300.0</v>
      </c>
      <c r="E44" s="20" t="s">
        <v>349</v>
      </c>
      <c r="F44" s="20" t="s">
        <v>350</v>
      </c>
      <c r="G44" s="20" t="s">
        <v>351</v>
      </c>
      <c r="H44" s="20" t="s">
        <v>101</v>
      </c>
      <c r="I44" s="21">
        <v>0.0</v>
      </c>
      <c r="J44" s="20" t="s">
        <v>292</v>
      </c>
      <c r="K44" s="21">
        <v>-24.1</v>
      </c>
      <c r="L44" s="21">
        <v>-23.33</v>
      </c>
      <c r="M44" s="20" t="s">
        <v>103</v>
      </c>
      <c r="N44" s="20" t="s">
        <v>103</v>
      </c>
      <c r="O44" s="21">
        <v>380.37</v>
      </c>
      <c r="P44" s="21">
        <v>349.81</v>
      </c>
      <c r="Q44" s="21">
        <v>0.0</v>
      </c>
      <c r="R44" s="21">
        <v>357.55</v>
      </c>
      <c r="S44" s="21">
        <v>0.0</v>
      </c>
      <c r="T44" s="20" t="s">
        <v>103</v>
      </c>
      <c r="U44" s="20" t="s">
        <v>104</v>
      </c>
      <c r="V44" s="20" t="s">
        <v>352</v>
      </c>
      <c r="W44" s="22" t="s">
        <v>106</v>
      </c>
    </row>
    <row r="45">
      <c r="A45" s="23" t="s">
        <v>353</v>
      </c>
      <c r="B45" s="23" t="s">
        <v>56</v>
      </c>
      <c r="C45" s="23" t="s">
        <v>97</v>
      </c>
      <c r="D45" s="24">
        <v>155.4</v>
      </c>
      <c r="E45" s="23" t="s">
        <v>354</v>
      </c>
      <c r="F45" s="23" t="s">
        <v>355</v>
      </c>
      <c r="G45" s="23" t="s">
        <v>356</v>
      </c>
      <c r="H45" s="23" t="s">
        <v>101</v>
      </c>
      <c r="I45" s="24">
        <v>0.0</v>
      </c>
      <c r="J45" s="23" t="s">
        <v>357</v>
      </c>
      <c r="K45" s="24">
        <v>20.66</v>
      </c>
      <c r="L45" s="24">
        <v>19.82</v>
      </c>
      <c r="M45" s="23" t="s">
        <v>358</v>
      </c>
      <c r="N45" s="23" t="s">
        <v>359</v>
      </c>
      <c r="O45" s="24">
        <v>613.5</v>
      </c>
      <c r="P45" s="24">
        <v>702.1</v>
      </c>
      <c r="Q45" s="24">
        <v>0.0</v>
      </c>
      <c r="R45" s="24">
        <v>0.01</v>
      </c>
      <c r="S45" s="24">
        <v>0.0</v>
      </c>
      <c r="T45" s="23" t="s">
        <v>103</v>
      </c>
      <c r="U45" s="23" t="s">
        <v>104</v>
      </c>
      <c r="V45" s="23" t="s">
        <v>360</v>
      </c>
      <c r="W45" s="25" t="s">
        <v>106</v>
      </c>
    </row>
    <row r="46">
      <c r="A46" s="20" t="s">
        <v>361</v>
      </c>
      <c r="B46" s="20" t="s">
        <v>57</v>
      </c>
      <c r="C46" s="20" t="s">
        <v>97</v>
      </c>
      <c r="D46" s="21">
        <v>100.0</v>
      </c>
      <c r="E46" s="20" t="s">
        <v>362</v>
      </c>
      <c r="F46" s="20" t="s">
        <v>363</v>
      </c>
      <c r="G46" s="20" t="s">
        <v>364</v>
      </c>
      <c r="H46" s="20" t="s">
        <v>101</v>
      </c>
      <c r="I46" s="21">
        <v>0.0</v>
      </c>
      <c r="J46" s="20" t="s">
        <v>134</v>
      </c>
      <c r="K46" s="21">
        <v>-17.21</v>
      </c>
      <c r="L46" s="21">
        <v>-16.49</v>
      </c>
      <c r="M46" s="20" t="s">
        <v>103</v>
      </c>
      <c r="N46" s="20" t="s">
        <v>103</v>
      </c>
      <c r="O46" s="21">
        <v>80.02</v>
      </c>
      <c r="P46" s="21">
        <v>66.25</v>
      </c>
      <c r="Q46" s="21">
        <v>0.0</v>
      </c>
      <c r="R46" s="21">
        <v>76.02</v>
      </c>
      <c r="S46" s="21">
        <v>0.0</v>
      </c>
      <c r="T46" s="20" t="s">
        <v>103</v>
      </c>
      <c r="U46" s="20" t="s">
        <v>104</v>
      </c>
      <c r="V46" s="20" t="s">
        <v>365</v>
      </c>
      <c r="W46" s="22" t="s">
        <v>106</v>
      </c>
    </row>
    <row r="47">
      <c r="A47" s="23" t="s">
        <v>366</v>
      </c>
      <c r="B47" s="23" t="s">
        <v>58</v>
      </c>
      <c r="C47" s="23" t="s">
        <v>97</v>
      </c>
      <c r="D47" s="24">
        <v>198.0</v>
      </c>
      <c r="E47" s="23" t="s">
        <v>367</v>
      </c>
      <c r="F47" s="23" t="s">
        <v>368</v>
      </c>
      <c r="G47" s="23" t="s">
        <v>369</v>
      </c>
      <c r="H47" s="23" t="s">
        <v>101</v>
      </c>
      <c r="I47" s="24">
        <v>0.0</v>
      </c>
      <c r="J47" s="23" t="s">
        <v>370</v>
      </c>
      <c r="K47" s="24">
        <v>15.56</v>
      </c>
      <c r="L47" s="24">
        <v>14.83</v>
      </c>
      <c r="M47" s="23" t="s">
        <v>371</v>
      </c>
      <c r="N47" s="23" t="s">
        <v>372</v>
      </c>
      <c r="O47" s="24">
        <v>10.59</v>
      </c>
      <c r="P47" s="24">
        <v>12.15</v>
      </c>
      <c r="Q47" s="24">
        <v>12.15</v>
      </c>
      <c r="R47" s="24">
        <v>9.94</v>
      </c>
      <c r="S47" s="24">
        <v>0.0</v>
      </c>
      <c r="T47" s="23" t="s">
        <v>103</v>
      </c>
      <c r="U47" s="23" t="s">
        <v>104</v>
      </c>
      <c r="V47" s="23" t="s">
        <v>373</v>
      </c>
      <c r="W47" s="25" t="s">
        <v>106</v>
      </c>
    </row>
    <row r="48">
      <c r="A48" s="20" t="s">
        <v>374</v>
      </c>
      <c r="B48" s="20" t="s">
        <v>59</v>
      </c>
      <c r="C48" s="20" t="s">
        <v>97</v>
      </c>
      <c r="D48" s="21">
        <v>51.41</v>
      </c>
      <c r="E48" s="20" t="s">
        <v>375</v>
      </c>
      <c r="F48" s="20" t="s">
        <v>376</v>
      </c>
      <c r="G48" s="20" t="s">
        <v>377</v>
      </c>
      <c r="H48" s="20" t="s">
        <v>101</v>
      </c>
      <c r="I48" s="21">
        <v>0.0</v>
      </c>
      <c r="J48" s="20" t="s">
        <v>378</v>
      </c>
      <c r="K48" s="21">
        <v>-6.2</v>
      </c>
      <c r="L48" s="21">
        <v>-6.04</v>
      </c>
      <c r="M48" s="20" t="s">
        <v>103</v>
      </c>
      <c r="N48" s="20" t="s">
        <v>103</v>
      </c>
      <c r="O48" s="21">
        <v>13.92</v>
      </c>
      <c r="P48" s="21">
        <v>12.24</v>
      </c>
      <c r="Q48" s="21">
        <v>0.0</v>
      </c>
      <c r="R48" s="21">
        <v>0.0</v>
      </c>
      <c r="S48" s="21">
        <v>0.0</v>
      </c>
      <c r="T48" s="20" t="s">
        <v>103</v>
      </c>
      <c r="U48" s="20" t="s">
        <v>104</v>
      </c>
      <c r="V48" s="20" t="s">
        <v>379</v>
      </c>
      <c r="W48" s="22" t="s">
        <v>106</v>
      </c>
    </row>
  </sheetData>
  <drawing r:id="rId1"/>
  <tableParts count="1">
    <tablePart r:id="rId3"/>
  </tableParts>
</worksheet>
</file>