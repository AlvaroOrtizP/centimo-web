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  <sheet state="visible" name="Otros" sheetId="2" r:id="rId6"/>
  </sheets>
  <definedNames>
    <definedName hidden="1" localSheetId="0" name="_xlnm._FilterDatabase">Seguimiento!$A$1:$P$16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tc={4e7eb213-ac90-4c98-8431-57ba892a554b}</author>
    <author>tc={b11a278b-cb4d-4ec9-a555-cfd3dbb820fc}</author>
  </authors>
  <commentList>
    <comment authorId="0" ref="A1">
      <text>
        <t xml:space="preserve">Aqui se indica el nombre de la criptomoneda</t>
      </text>
    </comment>
    <comment authorId="0" ref="B1">
      <text>
        <t xml:space="preserve">El coste total que se realizo por esta cripto ese dia</t>
      </text>
    </comment>
    <comment authorId="0" ref="C1">
      <text>
        <t xml:space="preserve">La fecha de compra</t>
      </text>
    </comment>
    <comment authorId="0" ref="D1">
      <text>
        <t xml:space="preserve">Aplicacion con la que fue comprada</t>
      </text>
    </comment>
    <comment authorId="0" ref="F1">
      <text>
        <t xml:space="preserve">Cantidad de monedas que se compraron</t>
      </text>
    </comment>
    <comment authorId="0" ref="G1">
      <text>
        <t xml:space="preserve">precio promedio al que compraste la posición</t>
      </text>
    </comment>
    <comment authorId="0" ref="H1">
      <text>
        <t xml:space="preserve">Causa por la cual se realizo la compra</t>
      </text>
    </comment>
    <comment authorId="0" ref="I1">
      <text>
        <t xml:space="preserve">Norma que pones en la web para que si baja de ese precio para de perder y venda</t>
      </text>
    </comment>
    <comment authorId="0" ref="J1">
      <text>
        <t xml:space="preserve">Año en el que se vendio la cripto</t>
      </text>
    </comment>
    <comment authorId="0" ref="K1">
      <text>
        <t xml:space="preserve">Fecha completa en la que se vendio</t>
      </text>
    </comment>
    <comment authorId="0" ref="M1">
      <text>
        <t xml:space="preserve">Causa por la que se vendio la cripto (puede ser por stop lost, por ganancias, por noticias...)</t>
      </text>
    </comment>
    <comment authorId="0" ref="N1">
      <text>
        <t xml:space="preserve">Dinero final obtenido
A este dinero luego le restaremos lo que invertimos</t>
      </text>
    </comment>
    <comment authorId="0" ref="O1">
      <text>
        <t xml:space="preserve">Dinero final obtenido
A este dinero luego le restaremos lo que invertimos</t>
      </text>
    </comment>
    <comment authorId="1" xr:uid="{4e7eb213-ac90-4c98-8431-57ba892a554b}" ref="S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los +17,84 son de coinbase (aun queda -28,44 de 2022
</t>
      </text>
    </comment>
    <comment authorId="2" xr:uid="{b11a278b-cb4d-4ec9-a555-cfd3dbb820fc}" ref="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conversiones de coinbase
</t>
      </text>
    </comment>
  </commentList>
</comments>
</file>

<file path=xl/sharedStrings.xml><?xml version="1.0" encoding="utf-8"?>
<sst xmlns="http://schemas.openxmlformats.org/spreadsheetml/2006/main" count="68" uniqueCount="45">
  <si>
    <t>Criptomoneda</t>
  </si>
  <si>
    <t>Ingreso</t>
  </si>
  <si>
    <t>Fecha ingreso</t>
  </si>
  <si>
    <t>Entidad</t>
  </si>
  <si>
    <t>Coste de la compra</t>
  </si>
  <si>
    <t>Cantidad de compra</t>
  </si>
  <si>
    <t>Promedio de Apertura</t>
  </si>
  <si>
    <t>Causa de compra</t>
  </si>
  <si>
    <t>Stop lost</t>
  </si>
  <si>
    <t>Año retirada</t>
  </si>
  <si>
    <t>Fecha retirada</t>
  </si>
  <si>
    <t>Coste retirada</t>
  </si>
  <si>
    <t>Causa de retirada</t>
  </si>
  <si>
    <t xml:space="preserve">Dinero final </t>
  </si>
  <si>
    <t>Dinero final (DOLARES)</t>
  </si>
  <si>
    <t>Ganancias/Perdidas (EUROS)</t>
  </si>
  <si>
    <t>Año</t>
  </si>
  <si>
    <t>Resultado por Año (€)</t>
  </si>
  <si>
    <t>Bitcoin</t>
  </si>
  <si>
    <t>Revolut</t>
  </si>
  <si>
    <t>Mercado alcista por dobe martillo</t>
  </si>
  <si>
    <t>2024</t>
  </si>
  <si>
    <t>Doge</t>
  </si>
  <si>
    <t>Intuicion erronea</t>
  </si>
  <si>
    <t>2025</t>
  </si>
  <si>
    <t>ETORO</t>
  </si>
  <si>
    <t>Marcas bajistas</t>
  </si>
  <si>
    <t>2026</t>
  </si>
  <si>
    <t>Aporte mensual</t>
  </si>
  <si>
    <t>Bajada</t>
  </si>
  <si>
    <t>2027</t>
  </si>
  <si>
    <t>Stader</t>
  </si>
  <si>
    <t>Coinbase</t>
  </si>
  <si>
    <t>Traspaso a bitcoin de coinbase</t>
  </si>
  <si>
    <t>2028</t>
  </si>
  <si>
    <t>Storj</t>
  </si>
  <si>
    <t>shiba-inu</t>
  </si>
  <si>
    <t>PEPE</t>
  </si>
  <si>
    <t>584.922,28</t>
  </si>
  <si>
    <t>REVOLUT X</t>
  </si>
  <si>
    <t>91.431,82</t>
  </si>
  <si>
    <t>Posible bajada</t>
  </si>
  <si>
    <t>101.200,83</t>
  </si>
  <si>
    <t>Ordern de precio limite</t>
  </si>
  <si>
    <t>Traspaso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</si>
</sst>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/m/yyyy"/>
    <numFmt numFmtId="166" formatCode="#,##0.000000000"/>
    <numFmt numFmtId="167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Roboto"/>
    </font>
    <font>
      <strike/>
      <color rgb="FF0000FF"/>
      <name val="Roboto"/>
    </font>
    <font>
      <strike/>
      <color theme="1"/>
      <name val="Arial"/>
      <scheme val="minor"/>
    </font>
    <font>
      <strike/>
      <color rgb="FF434343"/>
      <name val="Roboto"/>
    </font>
    <font>
      <b/>
      <color theme="1"/>
      <name val="Arial"/>
    </font>
    <font>
      <strike/>
      <u/>
      <color rgb="FF434343"/>
      <name val="Roboto"/>
    </font>
    <font>
      <strike/>
      <color theme="1"/>
      <name val="Arial"/>
    </font>
    <font>
      <b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2" fontId="3" numFmtId="49" xfId="0" applyAlignment="1" applyFill="1" applyFont="1" applyNumberForma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1" fillId="3" fontId="6" numFmtId="164" xfId="0" applyAlignment="1" applyBorder="1" applyFill="1" applyFont="1" applyNumberFormat="1">
      <alignment shrinkToFit="0" vertical="center" wrapText="0"/>
    </xf>
    <xf borderId="0" fillId="4" fontId="7" numFmtId="49" xfId="0" applyAlignment="1" applyFill="1" applyFont="1" applyNumberFormat="1">
      <alignment horizontal="center" shrinkToFit="0" vertical="bottom" wrapText="0"/>
    </xf>
    <xf borderId="0" fillId="4" fontId="7" numFmtId="164" xfId="0" applyAlignment="1" applyFont="1" applyNumberFormat="1">
      <alignment horizontal="center" shrinkToFit="0" vertical="bottom" wrapText="0"/>
    </xf>
    <xf borderId="2" fillId="5" fontId="6" numFmtId="164" xfId="0" applyAlignment="1" applyBorder="1" applyFill="1" applyFont="1" applyNumberFormat="1">
      <alignment shrinkToFit="0" vertical="center" wrapText="0"/>
    </xf>
    <xf borderId="0" fillId="4" fontId="7" numFmtId="49" xfId="0" applyAlignment="1" applyFont="1" applyNumberFormat="1">
      <alignment horizontal="center" vertical="bottom"/>
    </xf>
    <xf borderId="0" fillId="4" fontId="7" numFmtId="164" xfId="0" applyAlignment="1" applyFont="1" applyNumberFormat="1">
      <alignment horizontal="center" vertical="bottom"/>
    </xf>
    <xf borderId="2" fillId="5" fontId="8" numFmtId="164" xfId="0" applyAlignment="1" applyBorder="1" applyFont="1" applyNumberFormat="1">
      <alignment shrinkToFit="0" vertical="center" wrapText="0"/>
    </xf>
    <xf borderId="0" fillId="0" fontId="5" numFmtId="167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3" fontId="6" numFmtId="164" xfId="0" applyAlignment="1" applyBorder="1" applyFont="1" applyNumberFormat="1">
      <alignment shrinkToFit="0" vertical="center" wrapText="0"/>
    </xf>
    <xf borderId="0" fillId="0" fontId="9" numFmtId="0" xfId="0" applyAlignment="1" applyFont="1">
      <alignment vertical="bottom"/>
    </xf>
    <xf borderId="0" fillId="0" fontId="5" numFmtId="0" xfId="0" applyFont="1"/>
    <xf borderId="0" fillId="6" fontId="1" numFmtId="0" xfId="0" applyAlignment="1" applyFill="1" applyFont="1">
      <alignment readingOrder="0" shrinkToFit="0" vertical="center" wrapText="0"/>
    </xf>
    <xf borderId="0" fillId="6" fontId="1" numFmtId="164" xfId="0" applyAlignment="1" applyFont="1" applyNumberFormat="1">
      <alignment readingOrder="0" shrinkToFit="0" vertical="center" wrapText="0"/>
    </xf>
    <xf borderId="0" fillId="6" fontId="1" numFmtId="165" xfId="0" applyAlignment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166" xfId="0" applyAlignment="1" applyFont="1" applyNumberForma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3" fillId="7" fontId="10" numFmtId="1" xfId="0" applyAlignment="1" applyBorder="1" applyFill="1" applyFont="1" applyNumberFormat="1">
      <alignment horizontal="right" shrinkToFit="0" wrapText="0"/>
    </xf>
    <xf borderId="1" fillId="7" fontId="10" numFmtId="164" xfId="0" applyAlignment="1" applyBorder="1" applyFont="1" applyNumberFormat="1">
      <alignment horizontal="right" shrinkToFit="0" wrapText="0"/>
    </xf>
    <xf borderId="4" fillId="7" fontId="10" numFmtId="1" xfId="0" applyAlignment="1" applyBorder="1" applyFont="1" applyNumberFormat="1">
      <alignment horizontal="right" shrinkToFit="0" wrapText="0"/>
    </xf>
    <xf borderId="2" fillId="7" fontId="10" numFmtId="164" xfId="0" applyAlignment="1" applyBorder="1" applyFont="1" applyNumberFormat="1">
      <alignment horizontal="right" shrinkToFit="0" wrapText="0"/>
    </xf>
    <xf borderId="0" fillId="6" fontId="1" numFmtId="0" xfId="0" applyAlignment="1" applyFont="1">
      <alignment readingOrder="0" shrinkToFit="0" vertical="center" wrapText="0"/>
    </xf>
    <xf borderId="5" fillId="7" fontId="10" numFmtId="1" xfId="0" applyAlignment="1" applyBorder="1" applyFont="1" applyNumberFormat="1">
      <alignment horizontal="right" shrinkToFit="0" wrapText="0"/>
    </xf>
    <xf borderId="6" fillId="7" fontId="10" numFmtId="164" xfId="0" applyAlignment="1" applyBorder="1" applyFont="1" applyNumberFormat="1">
      <alignment horizontal="right" shrinkToFit="0" wrapText="0"/>
    </xf>
    <xf borderId="0" fillId="0" fontId="1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6" fontId="12" numFmtId="0" xfId="0" applyAlignment="1" applyFont="1">
      <alignment readingOrder="0" shrinkToFit="0" vertical="center" wrapText="0"/>
    </xf>
    <xf borderId="0" fillId="6" fontId="1" numFmtId="164" xfId="0" applyAlignment="1" applyFont="1" applyNumberFormat="1">
      <alignment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eguimi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imiento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354550" cy="3352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lvaro Ortiz Pedroso" id="{7c9f7c2e-a760-4c6f-a199-7d4de328fd5f}" providerId="google-sheets"/>
</x18tc:personList>
</file>

<file path=xl/tables/table1.xml><?xml version="1.0" encoding="utf-8"?>
<table xmlns="http://schemas.openxmlformats.org/spreadsheetml/2006/main" ref="A1:P16" displayName="Tabla_1" name="Tabla_1" id="1">
  <autoFilter ref="$A$1:$P$16">
    <filterColumn colId="9">
      <filters blank="1"/>
    </filterColumn>
  </autoFilter>
  <tableColumns count="16">
    <tableColumn name="Criptomoneda" id="1"/>
    <tableColumn name="Ingreso" id="2"/>
    <tableColumn name="Fecha ingreso" id="3"/>
    <tableColumn name="Entidad" id="4"/>
    <tableColumn name="Coste de la compra" id="5"/>
    <tableColumn name="Cantidad de compra" id="6"/>
    <tableColumn name="Promedio de Apertura" id="7"/>
    <tableColumn name="Causa de compra" id="8"/>
    <tableColumn name="Stop lost" id="9"/>
    <tableColumn name="Año retirada" id="10"/>
    <tableColumn name="Fecha retirada" id="11"/>
    <tableColumn name="Coste retirada" id="12"/>
    <tableColumn name="Causa de retirada" id="13"/>
    <tableColumn name="Dinero final " id="14"/>
    <tableColumn name="Dinero final (DOLARES)" id="15"/>
    <tableColumn name="Ganancias/Perdidas (EUROS)" id="16"/>
  </tableColumns>
  <tableStyleInfo name="Seguimiento-style" showColumnStripes="0" showFirstColumn="1" showLastColumn="1" showRowStripes="1"/>
</table>
</file>

<file path=xl/tables/table2.xml><?xml version="1.0" encoding="utf-8"?>
<table xmlns="http://schemas.openxmlformats.org/spreadsheetml/2006/main" ref="R1:S2" displayName="Tabla_2" name="Tabla_2" id="2">
  <tableColumns count="2">
    <tableColumn name="Año" id="1"/>
    <tableColumn name="Resultado por Año (€)" id="2"/>
  </tableColumns>
  <tableStyleInfo name="Seguimi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1" dT="2025-03-01T19:46:04.00" personId="{7c9f7c2e-a760-4c6f-a199-7d4de328fd5f}" id="{b11a278b-cb4d-4ec9-a555-cfd3dbb820fc}" done="0">
    <x18tc:text xml:space="preserve">Revisar conversiones de coinbase</x18tc:text>
  </x18tc:threadedComment>
  <x18tc:threadedComment ref="S10" dT="2025-03-01T19:44:47.00" personId="{7c9f7c2e-a760-4c6f-a199-7d4de328fd5f}" id="{4e7eb213-ac90-4c98-8431-57ba892a554b}" done="0">
    <x18tc:text xml:space="preserve">los +17,84 son de coinbase (aun queda -28,44 de 2022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es.tradingview.com/chart/ncSk3oUO/?symbol=BITSTAMP%3ABTCUSD" TargetMode="External"/><Relationship Id="rId9" Type="http://schemas.openxmlformats.org/officeDocument/2006/relationships/hyperlink" Target="https://es.tradingview.com/chart/ncSk3oUO/?symbol=BITSTAMP%3ABTCUSD" TargetMode="Externa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5" Type="http://schemas.openxmlformats.org/officeDocument/2006/relationships/hyperlink" Target="https://es.tradingview.com/chart/ncSk3oUO/?symbol=BITSTAMP%3ABTCUSD" TargetMode="External"/><Relationship Id="rId6" Type="http://schemas.openxmlformats.org/officeDocument/2006/relationships/hyperlink" Target="https://es.tradingview.com/chart/ncSk3oUO/?symbol=BITSTAMP%3ABTCUSD" TargetMode="External"/><Relationship Id="rId7" Type="http://schemas.openxmlformats.org/officeDocument/2006/relationships/hyperlink" Target="https://es.tradingview.com/chart/ncSk3oUO/?symbol=BITSTAMP%3ABTCUSD" TargetMode="External"/><Relationship Id="rId8" Type="http://schemas.openxmlformats.org/officeDocument/2006/relationships/hyperlink" Target="https://es.tradingview.com/chart/ncSk3oUO/?symbol=BITSTAMP%3ABTCUS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22.38"/>
    <col customWidth="1" min="3" max="3" width="23.63"/>
    <col customWidth="1" min="4" max="4" width="19.38"/>
    <col customWidth="1" min="5" max="5" width="23.13"/>
    <col customWidth="1" min="6" max="6" width="28.88"/>
    <col customWidth="1" min="7" max="7" width="26.13"/>
    <col customWidth="1" min="8" max="8" width="34.0"/>
    <col customWidth="1" min="9" max="9" width="19.5"/>
    <col customWidth="1" min="10" max="10" width="19.0"/>
    <col customWidth="1" min="11" max="11" width="19.88"/>
    <col customWidth="1" min="12" max="12" width="24.75"/>
    <col customWidth="1" min="13" max="13" width="21.13"/>
    <col customWidth="1" min="14" max="14" width="22.88"/>
    <col customWidth="1" min="15" max="15" width="26.25"/>
    <col customWidth="1" min="16" max="16" width="30.75"/>
    <col customWidth="1" min="18" max="18" width="17.0"/>
    <col customWidth="1" min="19" max="19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/>
      <c r="R1" s="4" t="s">
        <v>16</v>
      </c>
      <c r="S1" s="5" t="s">
        <v>17</v>
      </c>
    </row>
    <row r="2" ht="22.5" hidden="1" customHeight="1">
      <c r="A2" s="6" t="s">
        <v>18</v>
      </c>
      <c r="B2" s="7">
        <v>24.99</v>
      </c>
      <c r="C2" s="8">
        <v>45610.0</v>
      </c>
      <c r="D2" s="9" t="s">
        <v>19</v>
      </c>
      <c r="E2" s="7">
        <v>0.0</v>
      </c>
      <c r="F2" s="10"/>
      <c r="G2" s="11"/>
      <c r="H2" s="11" t="s">
        <v>20</v>
      </c>
      <c r="I2" s="11"/>
      <c r="J2" s="11">
        <v>2024.0</v>
      </c>
      <c r="K2" s="8">
        <v>45611.0</v>
      </c>
      <c r="L2" s="11"/>
      <c r="M2" s="11" t="s">
        <v>8</v>
      </c>
      <c r="N2" s="11">
        <v>20.57</v>
      </c>
      <c r="O2" s="7"/>
      <c r="P2" s="12">
        <f t="shared" ref="P2:P3" si="1">IF(ISBLANK(N2), 0, N2-B2)
</f>
        <v>-4.42</v>
      </c>
      <c r="Q2" s="3"/>
      <c r="R2" s="13" t="s">
        <v>21</v>
      </c>
      <c r="S2" s="14">
        <f t="shared" ref="S2:S6" si="2">SUMIF(J:J, R2, N:N)</f>
        <v>147.07</v>
      </c>
    </row>
    <row r="3" ht="22.5" hidden="1" customHeight="1">
      <c r="A3" s="11" t="s">
        <v>22</v>
      </c>
      <c r="B3" s="7">
        <v>24.99</v>
      </c>
      <c r="C3" s="8">
        <v>45610.0</v>
      </c>
      <c r="D3" s="9" t="s">
        <v>19</v>
      </c>
      <c r="E3" s="7">
        <v>0.0</v>
      </c>
      <c r="F3" s="10"/>
      <c r="G3" s="11"/>
      <c r="H3" s="11" t="s">
        <v>23</v>
      </c>
      <c r="I3" s="11"/>
      <c r="J3" s="11">
        <v>2024.0</v>
      </c>
      <c r="K3" s="8">
        <v>45611.0</v>
      </c>
      <c r="L3" s="11"/>
      <c r="M3" s="11" t="s">
        <v>8</v>
      </c>
      <c r="N3" s="11">
        <v>20.49</v>
      </c>
      <c r="O3" s="7"/>
      <c r="P3" s="15">
        <f t="shared" si="1"/>
        <v>-4.5</v>
      </c>
      <c r="Q3" s="3"/>
      <c r="R3" s="16" t="s">
        <v>24</v>
      </c>
      <c r="S3" s="17">
        <f t="shared" si="2"/>
        <v>56.8</v>
      </c>
    </row>
    <row r="4" ht="22.5" hidden="1" customHeight="1">
      <c r="A4" s="6" t="s">
        <v>18</v>
      </c>
      <c r="B4" s="7">
        <v>51.81</v>
      </c>
      <c r="C4" s="8">
        <v>45610.0</v>
      </c>
      <c r="D4" s="9" t="s">
        <v>25</v>
      </c>
      <c r="E4" s="7">
        <v>-1.0</v>
      </c>
      <c r="F4" s="10">
        <v>5.6E-4</v>
      </c>
      <c r="G4" s="11">
        <v>92519.98</v>
      </c>
      <c r="H4" s="11" t="s">
        <v>20</v>
      </c>
      <c r="I4" s="11">
        <v>78268.19</v>
      </c>
      <c r="J4" s="11">
        <v>2024.0</v>
      </c>
      <c r="K4" s="8">
        <v>45620.0</v>
      </c>
      <c r="L4" s="11"/>
      <c r="M4" s="11" t="s">
        <v>26</v>
      </c>
      <c r="N4" s="11">
        <v>53.85</v>
      </c>
      <c r="O4" s="7"/>
      <c r="P4" s="12">
        <v>1.95</v>
      </c>
      <c r="Q4" s="3"/>
      <c r="R4" s="16" t="s">
        <v>27</v>
      </c>
      <c r="S4" s="17">
        <f t="shared" si="2"/>
        <v>0</v>
      </c>
    </row>
    <row r="5" ht="22.5" hidden="1" customHeight="1">
      <c r="A5" s="6" t="s">
        <v>18</v>
      </c>
      <c r="B5" s="7">
        <v>51.0</v>
      </c>
      <c r="C5" s="8">
        <v>45630.0</v>
      </c>
      <c r="D5" s="9" t="s">
        <v>25</v>
      </c>
      <c r="E5" s="7">
        <v>-1.0</v>
      </c>
      <c r="F5" s="10">
        <v>5.0E-4</v>
      </c>
      <c r="G5" s="11">
        <v>97128.71</v>
      </c>
      <c r="H5" s="11" t="s">
        <v>28</v>
      </c>
      <c r="I5" s="11"/>
      <c r="J5" s="11">
        <v>2024.0</v>
      </c>
      <c r="K5" s="8">
        <v>45645.0</v>
      </c>
      <c r="L5" s="11"/>
      <c r="M5" s="11" t="s">
        <v>29</v>
      </c>
      <c r="N5" s="11">
        <v>52.16</v>
      </c>
      <c r="O5" s="7"/>
      <c r="P5" s="18">
        <v>1.8</v>
      </c>
      <c r="Q5" s="3"/>
      <c r="R5" s="16" t="s">
        <v>30</v>
      </c>
      <c r="S5" s="17">
        <f t="shared" si="2"/>
        <v>0</v>
      </c>
    </row>
    <row r="6" ht="22.5" hidden="1" customHeight="1">
      <c r="A6" s="11" t="s">
        <v>31</v>
      </c>
      <c r="B6" s="7">
        <v>15.0</v>
      </c>
      <c r="C6" s="8">
        <v>45510.0</v>
      </c>
      <c r="D6" s="9" t="s">
        <v>32</v>
      </c>
      <c r="E6" s="7">
        <v>-1.49</v>
      </c>
      <c r="F6" s="10">
        <v>32.16666667</v>
      </c>
      <c r="G6" s="11"/>
      <c r="H6" s="11"/>
      <c r="I6" s="11"/>
      <c r="J6" s="11">
        <v>2024.0</v>
      </c>
      <c r="K6" s="8">
        <v>45611.0</v>
      </c>
      <c r="L6" s="11"/>
      <c r="M6" s="11" t="s">
        <v>33</v>
      </c>
      <c r="N6" s="11">
        <v>0.0</v>
      </c>
      <c r="O6" s="7"/>
      <c r="P6" s="12">
        <v>0.0</v>
      </c>
      <c r="Q6" s="3"/>
      <c r="R6" s="16" t="s">
        <v>34</v>
      </c>
      <c r="S6" s="17">
        <f t="shared" si="2"/>
        <v>0</v>
      </c>
    </row>
    <row r="7" ht="22.5" hidden="1" customHeight="1">
      <c r="A7" s="11" t="s">
        <v>35</v>
      </c>
      <c r="B7" s="7">
        <v>15.0</v>
      </c>
      <c r="C7" s="8">
        <v>45510.0</v>
      </c>
      <c r="D7" s="9" t="s">
        <v>32</v>
      </c>
      <c r="E7" s="7">
        <v>-1.49</v>
      </c>
      <c r="F7" s="10">
        <v>36.51351351</v>
      </c>
      <c r="G7" s="11"/>
      <c r="H7" s="11"/>
      <c r="I7" s="11"/>
      <c r="J7" s="11">
        <v>2024.0</v>
      </c>
      <c r="K7" s="8">
        <v>45611.0</v>
      </c>
      <c r="L7" s="11"/>
      <c r="M7" s="11" t="s">
        <v>33</v>
      </c>
      <c r="N7" s="11">
        <v>0.0</v>
      </c>
      <c r="O7" s="7"/>
      <c r="P7" s="15">
        <v>0.0</v>
      </c>
      <c r="Q7" s="3"/>
      <c r="R7" s="3"/>
      <c r="S7" s="3"/>
    </row>
    <row r="8" ht="22.5" hidden="1" customHeight="1">
      <c r="A8" s="11" t="s">
        <v>36</v>
      </c>
      <c r="B8" s="7">
        <v>2.0</v>
      </c>
      <c r="C8" s="19">
        <v>45514.0</v>
      </c>
      <c r="D8" s="9" t="s">
        <v>32</v>
      </c>
      <c r="E8" s="7">
        <v>-1.49</v>
      </c>
      <c r="F8" s="10">
        <v>77212.36</v>
      </c>
      <c r="G8" s="11"/>
      <c r="H8" s="11"/>
      <c r="I8" s="11"/>
      <c r="J8" s="20">
        <v>2025.0</v>
      </c>
      <c r="K8" s="8"/>
      <c r="L8" s="11"/>
      <c r="M8" s="11"/>
      <c r="N8" s="11"/>
      <c r="O8" s="7"/>
      <c r="P8" s="21">
        <v>0.0</v>
      </c>
      <c r="Q8" s="3"/>
      <c r="R8" s="3"/>
      <c r="S8" s="3"/>
    </row>
    <row r="9" ht="22.5" hidden="1" customHeight="1">
      <c r="A9" s="11" t="s">
        <v>37</v>
      </c>
      <c r="B9" s="7">
        <v>15.0</v>
      </c>
      <c r="C9" s="8">
        <v>45640.0</v>
      </c>
      <c r="D9" s="9" t="s">
        <v>32</v>
      </c>
      <c r="E9" s="7">
        <v>-1.49</v>
      </c>
      <c r="F9" s="10" t="s">
        <v>38</v>
      </c>
      <c r="G9" s="11"/>
      <c r="H9" s="11"/>
      <c r="I9" s="11"/>
      <c r="J9" s="11">
        <v>2024.0</v>
      </c>
      <c r="K9" s="8">
        <v>45644.0</v>
      </c>
      <c r="L9" s="11"/>
      <c r="M9" s="11" t="s">
        <v>33</v>
      </c>
      <c r="N9" s="11">
        <v>0.0</v>
      </c>
      <c r="O9" s="7"/>
      <c r="P9" s="15">
        <v>0.0</v>
      </c>
      <c r="Q9" s="22"/>
      <c r="R9" s="3"/>
      <c r="S9" s="3"/>
      <c r="T9" s="23"/>
      <c r="U9" s="23"/>
      <c r="V9" s="23"/>
      <c r="W9" s="23"/>
      <c r="X9" s="23"/>
      <c r="Y9" s="23"/>
      <c r="Z9" s="23"/>
      <c r="AA9" s="23"/>
      <c r="AB9" s="23"/>
    </row>
    <row r="10" ht="22.5" customHeight="1">
      <c r="A10" s="24" t="s">
        <v>18</v>
      </c>
      <c r="B10" s="25">
        <v>50.99</v>
      </c>
      <c r="C10" s="26">
        <v>45630.0</v>
      </c>
      <c r="D10" s="27" t="s">
        <v>25</v>
      </c>
      <c r="E10" s="25">
        <v>1.07</v>
      </c>
      <c r="F10" s="28">
        <v>5.25E-4</v>
      </c>
      <c r="G10" s="24">
        <v>97128.71</v>
      </c>
      <c r="H10" s="29"/>
      <c r="I10" s="29"/>
      <c r="J10" s="24">
        <v>2024.0</v>
      </c>
      <c r="K10" s="26">
        <v>45645.0</v>
      </c>
      <c r="L10" s="24"/>
      <c r="M10" s="24"/>
      <c r="N10" s="24"/>
      <c r="O10" s="25">
        <v>1.87</v>
      </c>
      <c r="P10" s="25">
        <v>1.8</v>
      </c>
      <c r="Q10" s="3"/>
      <c r="R10" s="30">
        <v>2024.0</v>
      </c>
      <c r="S10" s="31">
        <f>SUM(P10+P11+17.84)</f>
        <v>21.59</v>
      </c>
    </row>
    <row r="11" ht="22.5" customHeight="1">
      <c r="A11" s="24" t="s">
        <v>18</v>
      </c>
      <c r="B11" s="25">
        <v>51.81</v>
      </c>
      <c r="C11" s="26">
        <v>45610.0</v>
      </c>
      <c r="D11" s="27" t="s">
        <v>25</v>
      </c>
      <c r="E11" s="25">
        <v>1.09</v>
      </c>
      <c r="F11" s="28">
        <v>5.6E-4</v>
      </c>
      <c r="G11" s="24">
        <v>92519.98</v>
      </c>
      <c r="H11" s="29"/>
      <c r="I11" s="29"/>
      <c r="J11" s="24">
        <v>2024.0</v>
      </c>
      <c r="K11" s="26">
        <v>45620.0</v>
      </c>
      <c r="L11" s="24"/>
      <c r="M11" s="24"/>
      <c r="N11" s="24"/>
      <c r="O11" s="25">
        <v>2.04</v>
      </c>
      <c r="P11" s="25">
        <v>1.95</v>
      </c>
      <c r="R11" s="32">
        <v>2025.0</v>
      </c>
      <c r="S11" s="33">
        <f t="shared" ref="S11:S12" si="3">SUMIF(J:J, R11, O:O)</f>
        <v>6.82</v>
      </c>
    </row>
    <row r="12" ht="22.5" customHeight="1">
      <c r="A12" s="29"/>
      <c r="B12" s="25"/>
      <c r="C12" s="26"/>
      <c r="D12" s="34"/>
      <c r="E12" s="25"/>
      <c r="F12" s="28"/>
      <c r="G12" s="24"/>
      <c r="H12" s="29"/>
      <c r="I12" s="29"/>
      <c r="J12" s="24"/>
      <c r="K12" s="26"/>
      <c r="L12" s="24"/>
      <c r="M12" s="24"/>
      <c r="N12" s="24"/>
      <c r="O12" s="25"/>
      <c r="P12" s="25"/>
      <c r="Q12" s="3"/>
      <c r="R12" s="35">
        <v>2026.0</v>
      </c>
      <c r="S12" s="36">
        <f t="shared" si="3"/>
        <v>0</v>
      </c>
    </row>
    <row r="13" ht="22.5" customHeight="1">
      <c r="A13" s="37" t="s">
        <v>18</v>
      </c>
      <c r="B13" s="38">
        <v>57.7</v>
      </c>
      <c r="C13" s="39">
        <v>45641.0</v>
      </c>
      <c r="D13" s="40" t="s">
        <v>32</v>
      </c>
      <c r="E13" s="38">
        <v>0.0</v>
      </c>
      <c r="F13" s="41">
        <v>6.9099E-4</v>
      </c>
      <c r="G13" s="42"/>
      <c r="H13" s="42"/>
      <c r="I13" s="42"/>
      <c r="J13" s="42"/>
      <c r="K13" s="39"/>
      <c r="L13" s="42"/>
      <c r="M13" s="42"/>
      <c r="N13" s="42"/>
      <c r="O13" s="38"/>
      <c r="P13" s="38"/>
      <c r="Q13" s="3"/>
      <c r="R13" s="3"/>
      <c r="S13" s="3"/>
    </row>
    <row r="14" ht="22.5" customHeight="1">
      <c r="A14" s="43" t="s">
        <v>18</v>
      </c>
      <c r="B14" s="25">
        <v>49.92</v>
      </c>
      <c r="C14" s="26">
        <v>45670.0</v>
      </c>
      <c r="D14" s="27" t="s">
        <v>39</v>
      </c>
      <c r="E14" s="44"/>
      <c r="F14" s="28">
        <v>5.46E-4</v>
      </c>
      <c r="G14" s="24" t="s">
        <v>40</v>
      </c>
      <c r="H14" s="29"/>
      <c r="I14" s="29"/>
      <c r="J14" s="24">
        <v>2025.0</v>
      </c>
      <c r="K14" s="26">
        <v>45679.0</v>
      </c>
      <c r="L14" s="24">
        <v>-0.06</v>
      </c>
      <c r="M14" s="24" t="s">
        <v>41</v>
      </c>
      <c r="N14" s="24">
        <v>56.8</v>
      </c>
      <c r="O14" s="25">
        <v>6.82</v>
      </c>
      <c r="P14" s="25">
        <v>6.82</v>
      </c>
    </row>
    <row r="15" ht="22.5" customHeight="1">
      <c r="A15" s="45" t="s">
        <v>18</v>
      </c>
      <c r="B15" s="46">
        <v>56.77</v>
      </c>
      <c r="C15" s="47">
        <v>45684.0</v>
      </c>
      <c r="D15" s="48" t="s">
        <v>39</v>
      </c>
      <c r="E15" s="46">
        <v>0.0</v>
      </c>
      <c r="F15" s="49">
        <v>5.61E-4</v>
      </c>
      <c r="G15" s="50" t="s">
        <v>42</v>
      </c>
      <c r="H15" s="50" t="s">
        <v>43</v>
      </c>
      <c r="I15" s="51"/>
      <c r="J15" s="50"/>
      <c r="K15" s="47"/>
      <c r="L15" s="50"/>
      <c r="M15" s="50"/>
      <c r="N15" s="50"/>
      <c r="O15" s="46"/>
      <c r="P15" s="46"/>
    </row>
    <row r="16" ht="22.5" hidden="1" customHeight="1">
      <c r="A16" s="11" t="s">
        <v>37</v>
      </c>
      <c r="B16" s="7">
        <v>14.02</v>
      </c>
      <c r="C16" s="8">
        <v>45648.0</v>
      </c>
      <c r="D16" s="9" t="s">
        <v>32</v>
      </c>
      <c r="E16" s="7">
        <v>0.0</v>
      </c>
      <c r="F16" s="10">
        <v>838433.614261</v>
      </c>
      <c r="G16" s="11"/>
      <c r="H16" s="11" t="s">
        <v>44</v>
      </c>
      <c r="I16" s="11"/>
      <c r="J16" s="20">
        <v>2025.0</v>
      </c>
      <c r="K16" s="8"/>
      <c r="L16" s="11"/>
      <c r="M16" s="11"/>
      <c r="N16" s="11"/>
      <c r="O16" s="7"/>
      <c r="P16" s="7"/>
    </row>
  </sheetData>
  <dataValidations>
    <dataValidation type="custom" allowBlank="1" showDropDown="1" sqref="C2:C16 K2:K16">
      <formula1>OR(NOT(ISERROR(DATEVALUE(C2))), AND(ISNUMBER(C2), LEFT(CELL("format", C2))="D"))</formula1>
    </dataValidation>
    <dataValidation type="custom" allowBlank="1" showDropDown="1" sqref="S2 B2:B16 E2:F16 O2:P16">
      <formula1>AND(ISNUMBER(B2),(NOT(OR(NOT(ISERROR(DATEVALUE(B2))), AND(ISNUMBER(B2), LEFT(CELL("format", B2))="D")))))</formula1>
    </dataValidation>
    <dataValidation allowBlank="1" showDropDown="1" sqref="R2"/>
    <dataValidation type="list" allowBlank="1" sqref="D2:D16">
      <formula1>"Revolut,ETORO,Coinbase,REVOLUT X"</formula1>
    </dataValidation>
  </dataValidations>
  <hyperlinks>
    <hyperlink r:id="rId4" ref="A2"/>
    <hyperlink r:id="rId5" ref="A4"/>
    <hyperlink r:id="rId6" ref="A5"/>
    <hyperlink r:id="rId7" ref="A13"/>
    <hyperlink r:id="rId8" ref="A14"/>
    <hyperlink r:id="rId9" ref="A15"/>
  </hyperlinks>
  <drawing r:id="rId10"/>
  <legacyDrawing r:id="rId11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