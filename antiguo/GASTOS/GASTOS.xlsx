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Lista gastos" sheetId="2" r:id="rId6"/>
    <sheet state="visible" name="Tabla dinámica 1" sheetId="3" r:id="rId7"/>
  </sheets>
  <definedNames>
    <definedName hidden="1" localSheetId="1" name="_xlnm._FilterDatabase">'Lista gastos'!$A$1:$F$250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<sst xmlns="http://schemas.openxmlformats.org/spreadsheetml/2006/main" count="529" uniqueCount="165">
  <si>
    <t>Columna 1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</si>
  <si>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</si>
  <si>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</si>
  <si>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</si>
  <si>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</si>
  <si>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</si>
  <si>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</si>
  <si>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</si>
  <si>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</si>
  <si>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</si>
  <si>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</si>
  <si>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</si>
  <si>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</si>
  <si>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</si>
  <si>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AÑO</t>
  </si>
  <si>
    <t>FECHA</t>
  </si>
  <si>
    <t>Column 6</t>
  </si>
  <si>
    <t>CONCEPTO</t>
  </si>
  <si>
    <t>DINERO</t>
  </si>
  <si>
    <t>CATEGORIA</t>
  </si>
  <si>
    <t>Gasolina</t>
  </si>
  <si>
    <t>Coche</t>
  </si>
  <si>
    <t>Crosfit</t>
  </si>
  <si>
    <t>Ejercicio</t>
  </si>
  <si>
    <t>Discord</t>
  </si>
  <si>
    <t>Microfono</t>
  </si>
  <si>
    <t>Cine y cena</t>
  </si>
  <si>
    <t>Ocio</t>
  </si>
  <si>
    <t>Cena</t>
  </si>
  <si>
    <t>Comida</t>
  </si>
  <si>
    <t>Champu</t>
  </si>
  <si>
    <t>Aseo</t>
  </si>
  <si>
    <t xml:space="preserve">Gasolina </t>
  </si>
  <si>
    <t>Trail</t>
  </si>
  <si>
    <t>Medicamento</t>
  </si>
  <si>
    <t>Piscina del sabado</t>
  </si>
  <si>
    <t>Cena del domingo en ponys burgos</t>
  </si>
  <si>
    <t>Champu comprado por amazon</t>
  </si>
  <si>
    <t>Cesta para setas comprada en Burgos y que se encuentra en el piso de Esther</t>
  </si>
  <si>
    <t>Cena del sabado dia 22 despues de la piscina</t>
  </si>
  <si>
    <t>Comida con los compis de BBVA</t>
  </si>
  <si>
    <t>Pintxo</t>
  </si>
  <si>
    <t>Playeras</t>
  </si>
  <si>
    <t>Trabajo</t>
  </si>
  <si>
    <t>Comida en Valentin (Aguilar)</t>
  </si>
  <si>
    <t>Netflix</t>
  </si>
  <si>
    <t>Libro en fnac (La voz de la espada)</t>
  </si>
  <si>
    <t>Lavadora y secadora</t>
  </si>
  <si>
    <t xml:space="preserve">bizum a Carlos Mercadona por la bebida en el bar de valencia </t>
  </si>
  <si>
    <t>Plancha de vapor</t>
  </si>
  <si>
    <t>Entrada al castillo de Denia</t>
  </si>
  <si>
    <t>Acuarius en Denia</t>
  </si>
  <si>
    <t>Oceanographic</t>
  </si>
  <si>
    <t>Transporte</t>
  </si>
  <si>
    <t>globo</t>
  </si>
  <si>
    <t xml:space="preserve">zapatos </t>
  </si>
  <si>
    <t xml:space="preserve">lavadora </t>
  </si>
  <si>
    <t>Suscripcion amazon</t>
  </si>
  <si>
    <t xml:space="preserve">Netflix </t>
  </si>
  <si>
    <t xml:space="preserve">kebab </t>
  </si>
  <si>
    <t>Comida sin ticket bueno</t>
  </si>
  <si>
    <t>Juego steam</t>
  </si>
  <si>
    <t>barbacoa</t>
  </si>
  <si>
    <t>Crossfit</t>
  </si>
  <si>
    <t>boya</t>
  </si>
  <si>
    <t>Taller/pintura</t>
  </si>
  <si>
    <t>Comida para curro</t>
  </si>
  <si>
    <t>psicotecnico para pescasub (bizum)</t>
  </si>
  <si>
    <t>Retirada 50 euros cajero para federativa u otros</t>
  </si>
  <si>
    <t>carta licencia pesca sub</t>
  </si>
  <si>
    <t>licencia asturias</t>
  </si>
  <si>
    <t>Cable para papa</t>
  </si>
  <si>
    <t>Bizum a Ruben: zumo de naranja</t>
  </si>
  <si>
    <t>museo</t>
  </si>
  <si>
    <t xml:space="preserve">hamburguesa </t>
  </si>
  <si>
    <t xml:space="preserve">bizum a Juanjo para la comida de navidad </t>
  </si>
  <si>
    <t>netflix</t>
  </si>
  <si>
    <t>cine</t>
  </si>
  <si>
    <t>evernote</t>
  </si>
  <si>
    <t>Pincha peces</t>
  </si>
  <si>
    <t>Hacienda</t>
  </si>
  <si>
    <t>hacienda</t>
  </si>
  <si>
    <t>pastillas para las perras</t>
  </si>
  <si>
    <t>Reparacion pc</t>
  </si>
  <si>
    <t>Compras barbacoa y casa</t>
  </si>
  <si>
    <t>reloj</t>
  </si>
  <si>
    <t>Veterinario</t>
  </si>
  <si>
    <t>Bizzun hacia mi</t>
  </si>
  <si>
    <t>Otros</t>
  </si>
  <si>
    <t>Collar linda</t>
  </si>
  <si>
    <t>Cena + parking en castro</t>
  </si>
  <si>
    <t>ITV</t>
  </si>
  <si>
    <t>Barbacoa</t>
  </si>
  <si>
    <t>Farmacia</t>
  </si>
  <si>
    <t xml:space="preserve">gasolina </t>
  </si>
  <si>
    <t>Kebab</t>
  </si>
  <si>
    <t>bizzum por lipton</t>
  </si>
  <si>
    <t>Helados y mas</t>
  </si>
  <si>
    <t>gasolina</t>
  </si>
  <si>
    <t>Boya para pescar</t>
  </si>
  <si>
    <t>Recado de comida</t>
  </si>
  <si>
    <t>comida</t>
  </si>
  <si>
    <t>movil nuevo</t>
  </si>
  <si>
    <t>funda</t>
  </si>
  <si>
    <t>nestea</t>
  </si>
  <si>
    <t>kebab</t>
  </si>
  <si>
    <t>silbato</t>
  </si>
  <si>
    <t>Aletas</t>
  </si>
  <si>
    <t xml:space="preserve">comida navidad </t>
  </si>
  <si>
    <t>Cine y movil de sandra</t>
  </si>
  <si>
    <t>Capilar</t>
  </si>
  <si>
    <t>comida para la ofi</t>
  </si>
  <si>
    <t xml:space="preserve">limpieza </t>
  </si>
  <si>
    <t>cena mtm</t>
  </si>
  <si>
    <t>Baliza dgt</t>
  </si>
  <si>
    <t>regalo curro</t>
  </si>
  <si>
    <t xml:space="preserve">cena navidad </t>
  </si>
  <si>
    <t>baliza v16</t>
  </si>
  <si>
    <t>comida oficina</t>
  </si>
  <si>
    <t xml:space="preserve">chino para cenar el domingo </t>
  </si>
  <si>
    <t>Comida y desodorante</t>
  </si>
  <si>
    <t xml:space="preserve">comida en el japo </t>
  </si>
  <si>
    <t>almuerzo</t>
  </si>
  <si>
    <t>alñmuerzo</t>
  </si>
  <si>
    <t>Pesca</t>
  </si>
  <si>
    <t xml:space="preserve">discord acciones </t>
  </si>
  <si>
    <t>Almuerzo</t>
  </si>
  <si>
    <t xml:space="preserve">cepillo </t>
  </si>
  <si>
    <t>compras comida</t>
  </si>
  <si>
    <t>trail</t>
  </si>
  <si>
    <t xml:space="preserve">almuerzo </t>
  </si>
  <si>
    <t>ruedas</t>
  </si>
  <si>
    <t xml:space="preserve">mermelada </t>
  </si>
  <si>
    <t>Comida - Carlos</t>
  </si>
  <si>
    <t>Gerencia para hacienda</t>
  </si>
  <si>
    <t>Pedido amazon coche</t>
  </si>
  <si>
    <t>Compras</t>
  </si>
  <si>
    <t>cena</t>
  </si>
  <si>
    <t xml:space="preserve">te y tostada </t>
  </si>
  <si>
    <t>compras</t>
  </si>
  <si>
    <t>limpias</t>
  </si>
  <si>
    <t>cuchillo pesca</t>
  </si>
  <si>
    <t xml:space="preserve">CrossFit </t>
  </si>
  <si>
    <t xml:space="preserve">desayuno </t>
  </si>
  <si>
    <t>Tekefono y champu</t>
  </si>
  <si>
    <t>Corona</t>
  </si>
  <si>
    <t>Funda movil</t>
  </si>
  <si>
    <t>amazon prime</t>
  </si>
  <si>
    <t>crossfit</t>
  </si>
  <si>
    <t>bar</t>
  </si>
  <si>
    <t>quesadas</t>
  </si>
  <si>
    <t>Juego</t>
  </si>
  <si>
    <t xml:space="preserve">compras comida </t>
  </si>
  <si>
    <t>99 evernote</t>
  </si>
  <si>
    <t xml:space="preserve">comida </t>
  </si>
  <si>
    <t xml:space="preserve">licencia </t>
  </si>
  <si>
    <t>gasolina.</t>
  </si>
  <si>
    <t>cosas pesca</t>
  </si>
  <si>
    <t>pesca</t>
  </si>
  <si>
    <t>Comida chino</t>
  </si>
  <si>
    <t>Sala de escape</t>
  </si>
  <si>
    <t xml:space="preserve">pesca </t>
  </si>
  <si>
    <t>cuchillo</t>
  </si>
  <si>
    <t>SUM de DINERO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</si>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</sst>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&quot;$&quot;#,##0.00"/>
    <numFmt numFmtId="166" formatCode="dd/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color rgb="FFE5CFF2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righ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2" numFmtId="165" xfId="0" applyAlignment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Gen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gas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37" sheet="Lista gastos"/>
  </cacheSource>
  <cacheFields>
    <cacheField name="AÑO" numFmtId="0">
      <sharedItems containsSemiMixedTypes="0" containsString="0" containsNumber="1" containsInteger="1">
        <n v="2025.0"/>
      </sharedItems>
    </cacheField>
    <cacheField name="FECHA" numFmtId="164">
      <sharedItems containsDate="1" containsString="0" containsBlank="1">
        <d v="2025-01-02T00:00:00Z"/>
        <d v="2025-01-03T00:00:00Z"/>
        <d v="2025-01-07T00:00:00Z"/>
        <d v="2025-01-12T00:00:00Z"/>
        <d v="2025-01-19T00:00:00Z"/>
        <d v="2025-01-31T00:00:00Z"/>
        <d v="2025-02-01T00:00:00Z"/>
        <d v="2025-02-05T00:00:00Z"/>
        <d v="2025-02-10T00:00:00Z"/>
        <d v="2025-02-19T00:00:00Z"/>
        <d v="2025-02-24T00:00:00Z"/>
        <d v="2025-02-27T00:00:00Z"/>
        <d v="2025-03-06T00:00:00Z"/>
        <d v="2025-03-08T00:00:00Z"/>
        <d v="2025-03-13T00:00:00Z"/>
        <d v="2025-03-14T00:00:00Z"/>
        <d v="2025-03-18T00:00:00Z"/>
        <d v="2025-03-21T00:00:00Z"/>
        <d v="2025-03-29T00:00:00Z"/>
        <d v="2025-04-01T00:00:00Z"/>
        <d v="2025-04-03T00:00:00Z"/>
        <d v="2025-04-04T00:00:00Z"/>
        <d v="2025-04-05T00:00:00Z"/>
        <d v="2025-04-06T00:00:00Z"/>
        <d v="2025-04-11T00:00:00Z"/>
        <d v="2025-04-13T00:00:00Z"/>
        <d v="2025-04-20T00:00:00Z"/>
        <d v="2025-04-21T00:00:00Z"/>
        <d v="2025-04-26T00:00:00Z"/>
        <d v="2025-04-29T00:00:00Z"/>
        <d v="2025-05-08T00:00:00Z"/>
        <d v="2025-05-10T00:00:00Z"/>
        <d v="2025-05-14T00:00:00Z"/>
        <d v="2025-05-16T00:00:00Z"/>
        <d v="2025-05-15T00:00:00Z"/>
        <d v="2025-05-21T00:00:00Z"/>
        <d v="2025-05-22T00:00:00Z"/>
        <d v="2025-05-29T00:00:00Z"/>
        <d v="2025-05-30T00:00:00Z"/>
        <d v="2025-06-05T00:00:00Z"/>
        <d v="2025-06-07T00:00:00Z"/>
        <m/>
        <d v="2025-06-20T00:00:00Z"/>
        <d v="2025-06-22T00:00:00Z"/>
        <d v="2025-06-23T00:00:00Z"/>
        <d v="2025-06-24T00:00:00Z"/>
        <d v="2025-06-30T00:00:00Z"/>
        <d v="2025-07-01T00:00:00Z"/>
        <d v="2025-07-07T00:00:00Z"/>
        <d v="2025-07-11T00:00:00Z"/>
        <d v="2025-07-13T00:00:00Z"/>
        <d v="2025-07-14T00:00:00Z"/>
        <d v="2025-07-16T00:00:00Z"/>
        <d v="2025-07-17T00:00:00Z"/>
        <d v="2025-07-18T00:00:00Z"/>
        <d v="2025-07-21T00:00:00Z"/>
        <d v="2025-07-26T00:00:00Z"/>
        <d v="2025-07-29T00:00:00Z"/>
        <d v="2025-08-03T00:00:00Z"/>
        <d v="2025-08-06T00:00:00Z"/>
        <d v="2025-08-07T00:00:00Z"/>
        <d v="2025-08-08T00:00:00Z"/>
        <d v="2025-08-11T00:00:00Z"/>
        <d v="2025-08-12T00:00:00Z"/>
        <d v="2025-08-14T00:00:00Z"/>
        <d v="2025-08-21T00:00:00Z"/>
        <d v="2025-08-25T00:00:00Z"/>
        <d v="2025-08-26T00:00:00Z"/>
        <d v="2025-09-02T00:00:00Z"/>
        <d v="2025-09-03T00:00:00Z"/>
        <d v="2025-09-05T00:00:00Z"/>
        <d v="2025-09-10T00:00:00Z"/>
        <d v="2025-09-15T00:00:00Z"/>
        <d v="2025-09-18T00:00:00Z"/>
        <d v="2025-09-19T00:00:00Z"/>
        <d v="2025-09-20T00:00:00Z"/>
        <d v="2025-09-21T00:00:00Z"/>
        <d v="2025-09-25T00:00:00Z"/>
        <d v="2025-09-27T00:00:00Z"/>
        <d v="2025-10-03T00:00:00Z"/>
        <d v="2025-10-06T00:00:00Z"/>
        <d v="2025-10-08T00:00:00Z"/>
        <d v="2025-10-15T00:00:00Z"/>
        <d v="2025-10-17T00:00:00Z"/>
        <d v="2025-10-20T00:00:00Z"/>
        <d v="2025-10-21T00:00:00Z"/>
        <d v="2025-10-26T00:00:00Z"/>
        <d v="2025-10-27T00:00:00Z"/>
        <d v="2025-11-02T00:00:00Z"/>
        <d v="2025-11-04T00:00:00Z"/>
        <d v="2025-11-05T00:00:00Z"/>
        <d v="2025-11-09T00:00:00Z"/>
        <d v="2025-11-16T00:00:00Z"/>
        <d v="2025-11-19T00:00:00Z"/>
        <d v="2025-11-21T00:00:00Z"/>
        <d v="2025-11-25T00:00:00Z"/>
        <d v="2025-11-29T00:00:00Z"/>
        <d v="2025-12-03T00:00:00Z"/>
        <d v="2025-12-08T00:00:00Z"/>
      </sharedItems>
    </cacheField>
    <cacheField name="Column 6" numFmtId="0">
      <sharedItems containsString="0" containsBlank="1">
        <m/>
      </sharedItems>
    </cacheField>
    <cacheField name="CONCEPTO" numFmtId="0">
      <sharedItems containsBlank="1">
        <s v="Gasolina"/>
        <s v="Crosfit"/>
        <s v="Discord"/>
        <s v="Microfono"/>
        <s v="Cine y cena"/>
        <s v="Cena"/>
        <s v="Champu"/>
        <s v="Gasolina "/>
        <s v="Trail"/>
        <s v="Medicamento"/>
        <s v="Piscina del sabado"/>
        <s v="Cena del domingo en ponys burgos"/>
        <s v="Champu comprado por amazon"/>
        <s v="Cesta para setas comprada en Burgos y que se encuentra en el piso de Esther"/>
        <s v="Cena del sabado dia 22 despues de la piscina"/>
        <s v="Comida con los compis de BBVA"/>
        <s v="Pintxo"/>
        <s v="Playeras"/>
        <s v="Comida en Valentin (Aguilar)"/>
        <s v="Netflix"/>
        <s v="Libro en fnac (La voz de la espada)"/>
        <s v="Lavadora y secadora"/>
        <s v="bizum a Carlos Mercadona por la bebida en el bar de valencia "/>
        <s v="Plancha de vapor"/>
        <s v="Entrada al castillo de Denia"/>
        <s v="Acuarius en Denia"/>
        <s v="Oceanographic"/>
        <s v="Transporte"/>
        <s v="globo"/>
        <s v="zapatos "/>
        <s v="lavadora "/>
        <s v="Suscripcion amazon"/>
        <s v="Netflix "/>
        <s v="kebab "/>
        <s v="Comida sin ticket bueno"/>
        <s v="Juego steam"/>
        <s v="barbacoa"/>
        <s v="Crossfit"/>
        <s v="boya"/>
        <s v="Taller/pintura"/>
        <s v="Comida para curro"/>
        <s v="psicotecnico para pescasub (bizum)"/>
        <s v="Retirada 50 euros cajero para federativa u otros"/>
        <s v="carta licencia pesca sub"/>
        <s v="licencia asturias"/>
        <s v="Cable para papa"/>
        <s v="Bizum a Ruben: zumo de naranja"/>
        <s v="museo"/>
        <s v="hamburguesa "/>
        <m/>
        <s v="bizum a Juanjo para la comida de navidad "/>
        <s v="cine"/>
        <s v="evernote"/>
        <s v="Pincha peces"/>
        <s v="Hacienda"/>
        <s v="pastillas para las perras"/>
        <s v="Reparacion pc"/>
        <s v="Compras barbacoa y casa"/>
        <s v="Comida"/>
        <s v="reloj"/>
        <s v="Veterinario"/>
        <s v="Bizzun hacia mi"/>
        <s v="Collar linda"/>
        <s v="Cena + parking en castro"/>
        <s v="ITV"/>
        <s v="Farmacia"/>
        <s v="Kebab"/>
        <s v="bizzum por lipton"/>
        <s v="Helados y mas"/>
        <s v="Boya para pescar"/>
        <s v="Recado de comida"/>
        <s v="movil nuevo"/>
        <s v="funda"/>
        <s v="nestea"/>
        <s v="silbato"/>
        <s v="Aletas"/>
        <s v="comida navidad "/>
        <s v="Cine y movil de sandra"/>
        <s v="Capilar"/>
        <s v="comida para la ofi"/>
        <s v="limpieza "/>
        <s v="cena mtm"/>
        <s v="Baliza dgt"/>
        <s v="regalo curro"/>
      </sharedItems>
    </cacheField>
    <cacheField name="DINERO" numFmtId="165">
      <sharedItems containsSemiMixedTypes="0" containsString="0" containsNumber="1">
        <n v="59.36"/>
        <n v="55.0"/>
        <n v="71.44"/>
        <n v="23.99"/>
        <n v="32.5"/>
        <n v="15.5"/>
        <n v="3.99"/>
        <n v="69.74"/>
        <n v="14.3"/>
        <n v="24.0"/>
        <n v="29.65"/>
        <n v="20.2"/>
        <n v="7.0"/>
        <n v="29.44"/>
        <n v="25.2"/>
        <n v="21.95"/>
        <n v="39.22"/>
        <n v="15.7"/>
        <n v="2.4"/>
        <n v="56.0"/>
        <n v="30.0"/>
        <n v="35.0"/>
        <n v="27.6"/>
        <n v="6.99"/>
        <n v="14.9"/>
        <n v="8.0"/>
        <n v="2.5"/>
        <n v="29.9"/>
        <n v="3.0"/>
        <n v="2.6"/>
        <n v="38.3"/>
        <n v="2.0"/>
        <n v="15.73"/>
        <n v="60.0"/>
        <n v="4.5"/>
        <n v="49.9"/>
        <n v="5.5"/>
        <n v="17.4"/>
        <n v="9.99"/>
        <n v="40.0"/>
        <n v="7.95"/>
        <n v="28.0"/>
        <n v="23.29"/>
        <n v="46.75"/>
        <n v="500.0"/>
        <n v="17.7"/>
        <n v="46.77"/>
        <n v="25.0"/>
        <n v="50.0"/>
        <n v="46.71"/>
        <n v="5.29"/>
        <n v="17.17"/>
        <n v="19.44"/>
        <n v="2.8"/>
        <n v="12.95"/>
        <n v="25.11"/>
        <n v="18.8"/>
        <n v="46.89"/>
        <n v="118.25"/>
        <n v="15.0"/>
        <n v="205.6"/>
        <n v="14.0"/>
        <n v="44.57"/>
        <n v="145.0"/>
        <n v="74.45"/>
        <n v="7.2"/>
        <n v="19.37"/>
        <n v="20.0"/>
        <n v="45.0"/>
        <n v="-25.0"/>
        <n v="25.98"/>
        <n v="18.16"/>
        <n v="29.49"/>
        <n v="60.24"/>
        <n v="14.36"/>
        <n v="14.75"/>
        <n v="11.34"/>
        <n v="6.0"/>
        <n v="2.75"/>
        <n v="10.67"/>
        <n v="56.64"/>
        <n v="33.29"/>
        <n v="11.45"/>
        <n v="7.3"/>
        <n v="319.0"/>
        <n v="7.88"/>
        <n v="9.0"/>
        <n v="3.55"/>
        <n v="160.0"/>
        <n v="7.25"/>
        <n v="38.47"/>
        <n v="73.62"/>
        <n v="2.2"/>
        <n v="12.0"/>
        <n v="10.4"/>
        <n v="42.19"/>
        <n v="23.39"/>
        <n v="137.06"/>
        <n v="8.78"/>
        <n v="1.96"/>
        <n v="35.32"/>
        <n v="8.7"/>
        <n v="27.91"/>
        <n v="10.0"/>
      </sharedItems>
    </cacheField>
    <cacheField name="CATEGORIA" numFmtId="0">
      <sharedItems containsBlank="1">
        <s v="Coche"/>
        <s v="Ejercicio"/>
        <s v="Discord"/>
        <s v="Ocio"/>
        <s v="Comida"/>
        <s v="Aseo"/>
        <s v="Medicamento"/>
        <s v="Trabajo"/>
        <m/>
        <s v="hacienda"/>
        <s v="Otro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13" firstHeaderRow="0" firstDataRow="1" firstDataCol="0"/>
  <pivotFields>
    <pivotField name="AÑO" compact="0" outline="0" multipleItemSelectionAllowed="1" showAll="0">
      <items>
        <item x="0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Column 6" compact="0" outline="0" multipleItemSelectionAllowed="1" showAll="0">
      <items>
        <item x="0"/>
        <item t="default"/>
      </items>
    </pivotField>
    <pivotField name="CONCEP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DINERO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CATEGORIA" axis="axisRow" compact="0" outline="0" multipleItemSelectionAllowed="1" showAll="0" sortType="ascending">
      <items>
        <item x="8"/>
        <item x="5"/>
        <item x="0"/>
        <item x="4"/>
        <item x="2"/>
        <item x="1"/>
        <item x="9"/>
        <item x="6"/>
        <item x="3"/>
        <item x="10"/>
        <item x="7"/>
        <item t="default"/>
      </items>
    </pivotField>
  </pivotFields>
  <rowFields>
    <field x="5"/>
  </rowFields>
  <dataFields>
    <dataField name="SUM of DINERO" fld="4" baseField="0"/>
  </dataFields>
</pivotTableDefinition>
</file>

<file path=xl/tables/table1.xml><?xml version="1.0" encoding="utf-8"?>
<table xmlns="http://schemas.openxmlformats.org/spreadsheetml/2006/main" ref="A1:N3" displayName="Tabla_1" name="Tabla_1" id="1">
  <tableColumns count="14">
    <tableColumn name="Columna 1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  <tableColumn name="TOTAL" id="14"/>
  </tableColumns>
  <tableStyleInfo name="General-style" showColumnStripes="0" showFirstColumn="1" showLastColumn="1" showRowStripes="1"/>
</table>
</file>

<file path=xl/tables/table2.xml><?xml version="1.0" encoding="utf-8"?>
<table xmlns="http://schemas.openxmlformats.org/spreadsheetml/2006/main" ref="A1:F250" displayName="Tabla_2" name="Tabla_2" id="2">
  <autoFilter ref="$A$1:$F$250">
    <filterColumn colId="0">
      <filters>
        <filter val="2026"/>
      </filters>
    </filterColumn>
    <filterColumn colId="4">
      <filters>
        <filter val="$32.09"/>
        <filter val="$74.45"/>
        <filter val="$15.70"/>
        <filter val="$2.60"/>
        <filter val="$6.25"/>
        <filter val="$9.99"/>
        <filter val="$1.96"/>
        <filter val="$9.10"/>
        <filter val="$26.00"/>
        <filter val="$23.99"/>
        <filter val="$20.20"/>
        <filter val="$27.60"/>
        <filter val="$55.00"/>
        <filter val="$49.90"/>
        <filter val="$205.60"/>
        <filter val="$5.60"/>
        <filter val="$18.50"/>
        <filter val="$14.90"/>
        <filter val="$3.40"/>
        <filter val="$2.75"/>
        <filter val="$46.89"/>
        <filter val="$7.00"/>
        <filter val="$7.88"/>
        <filter val="$60.24"/>
        <filter val="$10.40"/>
        <filter val="$500.00"/>
        <filter val="$29.90"/>
        <filter val="$23.29"/>
        <filter val="$118.25"/>
        <filter val="$59.36"/>
        <filter val="$1.18"/>
        <filter val="$35.00"/>
        <filter val="$14.00"/>
        <filter val="$25.11"/>
        <filter val="$18.80"/>
        <filter val="$25.98"/>
        <filter val="$7.95"/>
        <filter val="$46.75"/>
        <filter val="$25.95"/>
        <filter val="$46.71"/>
        <filter val="$20.00"/>
        <filter val="$2.80"/>
        <filter val="$160.00"/>
        <filter val="$46.77"/>
        <filter val="$3.55"/>
        <filter val="$1.30"/>
        <filter val="$28.00"/>
        <filter val="$44.57"/>
        <filter val="$7.10"/>
        <filter val="$14.36"/>
        <filter val="$3.45"/>
        <filter val="$39.10"/>
        <filter val="$115.00"/>
        <filter val="$19.44"/>
        <filter val="$11.45"/>
        <filter val="$14.30"/>
        <filter val="$12.95"/>
        <filter val="$300.00"/>
        <filter val="$15.00"/>
        <filter val="$38.47"/>
        <filter val="$5.80"/>
        <filter val="$45.95"/>
        <filter val="$25.20"/>
        <filter val="$319.00"/>
        <filter val="$48.00"/>
        <filter val="$6.50"/>
        <filter val="$8.70"/>
        <filter val="$5.00"/>
        <filter val="$29.65"/>
        <filter val="$7.25"/>
        <filter val="$7.20"/>
        <filter val="$60.00"/>
        <filter val="$2.10"/>
        <filter val="$8.78"/>
        <filter val="$40.00"/>
        <filter val="$17.17"/>
        <filter val="$12.00"/>
        <filter val="$2.00"/>
        <filter val="$39.22"/>
        <filter val="$56.20"/>
        <filter val="$15.73"/>
        <filter val="$10.67"/>
        <filter val="$11.34"/>
        <filter val="$19.37"/>
        <filter val="$23.50"/>
        <filter val="$137.06"/>
        <filter val="$48.74"/>
        <filter val="$5.99"/>
        <filter val="$0.80"/>
        <filter val="$2.20"/>
        <filter val="$45.00"/>
        <filter val="$7.30"/>
        <filter val="$8.00"/>
        <filter val="$80.80"/>
        <filter val="$13.00"/>
        <filter val="$35.32"/>
        <filter val="$18.16"/>
        <filter val="-$25.00"/>
        <filter val="$13.05"/>
        <filter val="$10.90"/>
        <filter val="$42.19"/>
        <filter val="$25.80"/>
        <filter val="$17.40"/>
        <filter val="$15.20"/>
        <filter val="$25.00"/>
        <filter val="$29.49"/>
        <filter val="$33.29"/>
        <filter val="$29.44"/>
        <filter val="$3.00"/>
        <filter val="$25.04"/>
        <filter val="$26.55"/>
        <filter val="$8.99"/>
        <filter val="$5.18"/>
        <filter val="$36.96"/>
        <filter val="$1.55"/>
        <filter val="$38.30"/>
        <filter val="$8.06"/>
        <filter val="$15.19"/>
        <filter val="$56.00"/>
        <filter val="$10.00"/>
        <filter val="$21.95"/>
        <filter val="$6.82"/>
        <filter val="$3.90"/>
        <filter val="$69.74"/>
        <filter val="$17.70"/>
        <filter val="$6.00"/>
        <filter val="$23.39"/>
        <filter val="$122.94"/>
        <filter val="$4.60"/>
        <filter val="$29.98"/>
        <filter val="$28.42"/>
        <filter val="$3.99"/>
        <filter val="$2.40"/>
        <filter val="$24.00"/>
        <filter val="$464.24"/>
        <filter val="$5.29"/>
        <filter val="$40.58"/>
        <filter val="$12.55"/>
        <filter val="$145.00"/>
        <filter val="$16.95"/>
        <filter val="$14.75"/>
        <filter val="$30.00"/>
        <filter val="$10.30"/>
        <filter val="$50.00"/>
        <filter val="$22.74"/>
        <filter val="$20.50"/>
        <filter val="$27.06"/>
        <filter val="$73.62"/>
        <filter val="$6.99"/>
        <filter val="$13.19"/>
        <filter val="$9.00"/>
        <filter val="$5.40"/>
        <filter val="$56.64"/>
        <filter val="$27.91"/>
        <filter val="$142.89"/>
        <filter val="$71.44"/>
        <filter val="$33.87"/>
        <filter val="$13.95"/>
        <filter val="$90.67"/>
      </filters>
    </filterColumn>
  </autoFilter>
  <tableColumns count="6">
    <tableColumn name="AÑO" id="1"/>
    <tableColumn name="FECHA" id="2"/>
    <tableColumn name="Column 6" id="3"/>
    <tableColumn name="CONCEPTO" id="4"/>
    <tableColumn name="DINERO" id="5"/>
    <tableColumn name="CATEGORIA" id="6"/>
  </tableColumns>
  <tableStyleInfo name="Lista gas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10" max="10" width="15.38"/>
    <col customWidth="1" min="11" max="11" width="12.75"/>
    <col customWidth="1" min="12" max="12" width="14.75"/>
    <col customWidth="1" min="13" max="13" width="14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ht="22.5" customHeight="1">
      <c r="A2" s="4">
        <v>2025.0</v>
      </c>
      <c r="B2" s="5">
        <f>SUM('Lista gastos'!E154:G168)</f>
        <v>693.16</v>
      </c>
      <c r="C2" s="6">
        <f>SUM('Lista gastos'!E9:E20)</f>
        <v>330.98</v>
      </c>
      <c r="D2" s="6">
        <f>SUM('Lista gastos'!E21:E30)</f>
        <v>257.81</v>
      </c>
      <c r="E2" s="6">
        <f>SUM('Lista gastos'!E31:E45)</f>
        <v>250.82</v>
      </c>
      <c r="F2" s="6">
        <f>SUM('Lista gastos'!E46:E60)</f>
        <v>871.61</v>
      </c>
      <c r="G2" s="6">
        <f>SUM('Lista gastos'!E61:E74)</f>
        <v>540.83</v>
      </c>
      <c r="H2" s="6">
        <f>SUM('Lista gastos'!E75:E87)</f>
        <v>451.72</v>
      </c>
      <c r="I2" s="6">
        <f>SUM('Lista gastos'!E88:E97)</f>
        <v>305.17</v>
      </c>
      <c r="J2" s="6">
        <f>SUM('Lista gastos'!E98:G111)</f>
        <v>517.02</v>
      </c>
      <c r="K2" s="6">
        <f>SUM('Lista gastos'!E112:G122)</f>
        <v>396.93</v>
      </c>
      <c r="L2" s="6">
        <f>SUM('Lista gastos'!E123:G134)</f>
        <v>387.94</v>
      </c>
      <c r="M2" s="6">
        <f>SUM('Lista gastos'!E135:G154)</f>
        <v>343.53</v>
      </c>
      <c r="N2" s="7">
        <f t="shared" ref="N2:N3" si="1">SUM(B2:M2)</f>
        <v>5347.52</v>
      </c>
    </row>
    <row r="3" ht="22.5" customHeight="1">
      <c r="A3" s="4">
        <v>2026.0</v>
      </c>
      <c r="B3" s="6">
        <f>SUM('Lista gastos'!E155:E169)</f>
        <v>703.66</v>
      </c>
      <c r="C3" s="6">
        <f>SUM('Lista gastos'!E170:E180)</f>
        <v>239.14</v>
      </c>
      <c r="D3" s="6">
        <f>SUM('Lista gastos'!E181:E194)</f>
        <v>293.34</v>
      </c>
      <c r="E3" s="5">
        <f>SUM('Lista gastos'!E195:E211)</f>
        <v>492.53</v>
      </c>
      <c r="F3" s="5">
        <f>SUM('Lista gastos'!E212:E224)</f>
        <v>313.38</v>
      </c>
      <c r="G3" s="5">
        <f>SUM('Lista gastos'!E225:E247)</f>
        <v>751.23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6">
        <f t="shared" si="1"/>
        <v>2793.28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4.0"/>
    <col customWidth="1" min="4" max="4" width="46.13"/>
    <col customWidth="1" min="5" max="5" width="14.63"/>
    <col customWidth="1" min="6" max="6" width="17.63"/>
  </cols>
  <sheetData>
    <row r="1" ht="22.5" customHeight="1">
      <c r="A1" s="2" t="s">
        <v>14</v>
      </c>
      <c r="B1" s="2" t="s">
        <v>15</v>
      </c>
      <c r="C1" s="8" t="s">
        <v>16</v>
      </c>
      <c r="D1" s="2" t="s">
        <v>17</v>
      </c>
      <c r="E1" s="2" t="s">
        <v>18</v>
      </c>
      <c r="F1" s="2" t="s">
        <v>19</v>
      </c>
    </row>
    <row r="2" ht="22.5" hidden="1" customHeight="1">
      <c r="A2" s="4">
        <v>2025.0</v>
      </c>
      <c r="B2" s="9">
        <v>45659.0</v>
      </c>
      <c r="C2" s="9"/>
      <c r="D2" s="4" t="s">
        <v>20</v>
      </c>
      <c r="E2" s="5">
        <v>59.36</v>
      </c>
      <c r="F2" s="10" t="s">
        <v>21</v>
      </c>
    </row>
    <row r="3" ht="22.5" hidden="1" customHeight="1">
      <c r="A3" s="4">
        <v>2025.0</v>
      </c>
      <c r="B3" s="9">
        <v>45660.0</v>
      </c>
      <c r="C3" s="9"/>
      <c r="D3" s="4" t="s">
        <v>22</v>
      </c>
      <c r="E3" s="5">
        <v>55.0</v>
      </c>
      <c r="F3" s="10" t="s">
        <v>23</v>
      </c>
    </row>
    <row r="4" ht="22.5" hidden="1" customHeight="1">
      <c r="A4" s="11">
        <v>2025.0</v>
      </c>
      <c r="B4" s="12">
        <v>45664.0</v>
      </c>
      <c r="C4" s="12"/>
      <c r="D4" s="11" t="s">
        <v>24</v>
      </c>
      <c r="E4" s="13">
        <v>71.44</v>
      </c>
      <c r="F4" s="14" t="s">
        <v>24</v>
      </c>
    </row>
    <row r="5" ht="22.5" hidden="1" customHeight="1">
      <c r="A5" s="11">
        <v>2025.0</v>
      </c>
      <c r="B5" s="12">
        <v>45669.0</v>
      </c>
      <c r="C5" s="12"/>
      <c r="D5" s="11" t="s">
        <v>25</v>
      </c>
      <c r="E5" s="13">
        <v>23.99</v>
      </c>
      <c r="F5" s="14" t="s">
        <v>24</v>
      </c>
    </row>
    <row r="6" ht="22.5" hidden="1" customHeight="1">
      <c r="A6" s="11">
        <v>2025.0</v>
      </c>
      <c r="B6" s="12">
        <v>45669.0</v>
      </c>
      <c r="C6" s="12"/>
      <c r="D6" s="11" t="s">
        <v>26</v>
      </c>
      <c r="E6" s="13">
        <v>32.5</v>
      </c>
      <c r="F6" s="14" t="s">
        <v>27</v>
      </c>
    </row>
    <row r="7" ht="22.5" hidden="1" customHeight="1">
      <c r="A7" s="11">
        <v>2025.0</v>
      </c>
      <c r="B7" s="12">
        <v>45676.0</v>
      </c>
      <c r="C7" s="12"/>
      <c r="D7" s="11" t="s">
        <v>28</v>
      </c>
      <c r="E7" s="13">
        <v>15.5</v>
      </c>
      <c r="F7" s="14" t="s">
        <v>29</v>
      </c>
    </row>
    <row r="8" ht="22.5" hidden="1" customHeight="1">
      <c r="A8" s="11">
        <v>2025.0</v>
      </c>
      <c r="B8" s="12">
        <v>45688.0</v>
      </c>
      <c r="C8" s="12"/>
      <c r="D8" s="11" t="s">
        <v>30</v>
      </c>
      <c r="E8" s="13">
        <v>3.99</v>
      </c>
      <c r="F8" s="14" t="s">
        <v>31</v>
      </c>
    </row>
    <row r="9" ht="22.5" hidden="1" customHeight="1">
      <c r="A9" s="11">
        <v>2025.0</v>
      </c>
      <c r="B9" s="12">
        <v>45689.0</v>
      </c>
      <c r="C9" s="12"/>
      <c r="D9" s="11" t="s">
        <v>32</v>
      </c>
      <c r="E9" s="13">
        <v>69.74</v>
      </c>
      <c r="F9" s="14" t="s">
        <v>21</v>
      </c>
      <c r="H9" s="15">
        <f>SUM(E2:E198)</f>
        <v>6295.63</v>
      </c>
    </row>
    <row r="10" ht="22.5" hidden="1" customHeight="1">
      <c r="A10" s="11">
        <v>2025.0</v>
      </c>
      <c r="B10" s="12">
        <v>45689.0</v>
      </c>
      <c r="C10" s="12"/>
      <c r="D10" s="11" t="s">
        <v>28</v>
      </c>
      <c r="E10" s="13">
        <v>14.3</v>
      </c>
      <c r="F10" s="14" t="s">
        <v>29</v>
      </c>
    </row>
    <row r="11" ht="22.5" hidden="1" customHeight="1">
      <c r="A11" s="11">
        <v>2025.0</v>
      </c>
      <c r="B11" s="12">
        <v>45693.0</v>
      </c>
      <c r="C11" s="12"/>
      <c r="D11" s="11" t="s">
        <v>33</v>
      </c>
      <c r="E11" s="13">
        <v>24.0</v>
      </c>
      <c r="F11" s="14" t="s">
        <v>23</v>
      </c>
    </row>
    <row r="12" ht="22.5" hidden="1" customHeight="1">
      <c r="A12" s="11">
        <v>2025.0</v>
      </c>
      <c r="B12" s="12">
        <v>45693.0</v>
      </c>
      <c r="C12" s="12"/>
      <c r="D12" s="11" t="s">
        <v>22</v>
      </c>
      <c r="E12" s="13">
        <v>55.0</v>
      </c>
      <c r="F12" s="14" t="s">
        <v>23</v>
      </c>
    </row>
    <row r="13" ht="22.5" hidden="1" customHeight="1">
      <c r="A13" s="11">
        <v>2025.0</v>
      </c>
      <c r="B13" s="12">
        <v>45698.0</v>
      </c>
      <c r="C13" s="12"/>
      <c r="D13" s="11" t="s">
        <v>30</v>
      </c>
      <c r="E13" s="13">
        <v>29.65</v>
      </c>
      <c r="F13" s="14" t="s">
        <v>31</v>
      </c>
    </row>
    <row r="14" ht="22.5" hidden="1" customHeight="1">
      <c r="A14" s="11">
        <v>2025.0</v>
      </c>
      <c r="B14" s="12">
        <v>45707.0</v>
      </c>
      <c r="C14" s="12"/>
      <c r="D14" s="11" t="s">
        <v>34</v>
      </c>
      <c r="E14" s="13">
        <v>20.2</v>
      </c>
      <c r="F14" s="14" t="s">
        <v>34</v>
      </c>
    </row>
    <row r="15" ht="22.5" hidden="1" customHeight="1">
      <c r="A15" s="4">
        <v>2025.0</v>
      </c>
      <c r="B15" s="12">
        <v>45712.0</v>
      </c>
      <c r="C15" s="12"/>
      <c r="D15" s="4" t="s">
        <v>35</v>
      </c>
      <c r="E15" s="5">
        <v>7.0</v>
      </c>
      <c r="F15" s="10" t="s">
        <v>27</v>
      </c>
    </row>
    <row r="16" ht="22.5" hidden="1" customHeight="1">
      <c r="A16" s="4">
        <v>2025.0</v>
      </c>
      <c r="B16" s="12">
        <v>45712.0</v>
      </c>
      <c r="C16" s="12"/>
      <c r="D16" s="4" t="s">
        <v>20</v>
      </c>
      <c r="E16" s="5">
        <v>29.44</v>
      </c>
      <c r="F16" s="10" t="s">
        <v>21</v>
      </c>
    </row>
    <row r="17" ht="22.5" hidden="1" customHeight="1">
      <c r="A17" s="11">
        <v>2025.0</v>
      </c>
      <c r="B17" s="12">
        <v>45712.0</v>
      </c>
      <c r="C17" s="12"/>
      <c r="D17" s="11" t="s">
        <v>36</v>
      </c>
      <c r="E17" s="13">
        <v>25.2</v>
      </c>
      <c r="F17" s="14" t="s">
        <v>29</v>
      </c>
    </row>
    <row r="18" ht="22.5" hidden="1" customHeight="1">
      <c r="A18" s="11">
        <v>2025.0</v>
      </c>
      <c r="B18" s="12">
        <v>45712.0</v>
      </c>
      <c r="C18" s="12"/>
      <c r="D18" s="11" t="s">
        <v>37</v>
      </c>
      <c r="E18" s="13">
        <v>20.2</v>
      </c>
      <c r="F18" s="14" t="s">
        <v>31</v>
      </c>
    </row>
    <row r="19" ht="22.5" hidden="1" customHeight="1">
      <c r="A19" s="11">
        <v>2025.0</v>
      </c>
      <c r="B19" s="12">
        <v>45712.0</v>
      </c>
      <c r="C19" s="12"/>
      <c r="D19" s="11" t="s">
        <v>38</v>
      </c>
      <c r="E19" s="13">
        <v>21.95</v>
      </c>
      <c r="F19" s="14" t="s">
        <v>27</v>
      </c>
    </row>
    <row r="20" ht="22.5" hidden="1" customHeight="1">
      <c r="A20" s="11">
        <v>2025.0</v>
      </c>
      <c r="B20" s="12">
        <v>45715.0</v>
      </c>
      <c r="C20" s="12"/>
      <c r="D20" s="11" t="s">
        <v>39</v>
      </c>
      <c r="E20" s="13">
        <v>14.3</v>
      </c>
      <c r="F20" s="14" t="s">
        <v>27</v>
      </c>
    </row>
    <row r="21" ht="22.5" hidden="1" customHeight="1">
      <c r="A21" s="11">
        <v>2025.0</v>
      </c>
      <c r="B21" s="12">
        <v>45722.0</v>
      </c>
      <c r="C21" s="12"/>
      <c r="D21" s="11" t="s">
        <v>20</v>
      </c>
      <c r="E21" s="13">
        <v>39.22</v>
      </c>
      <c r="F21" s="14" t="s">
        <v>21</v>
      </c>
    </row>
    <row r="22" ht="22.5" hidden="1" customHeight="1">
      <c r="A22" s="11">
        <v>2025.0</v>
      </c>
      <c r="B22" s="12">
        <v>45724.0</v>
      </c>
      <c r="C22" s="12"/>
      <c r="D22" s="11" t="s">
        <v>40</v>
      </c>
      <c r="E22" s="5">
        <v>15.7</v>
      </c>
      <c r="F22" s="14" t="s">
        <v>29</v>
      </c>
    </row>
    <row r="23" ht="22.5" hidden="1" customHeight="1">
      <c r="A23" s="11">
        <v>2025.0</v>
      </c>
      <c r="B23" s="12">
        <v>45722.0</v>
      </c>
      <c r="C23" s="12"/>
      <c r="D23" s="11" t="s">
        <v>41</v>
      </c>
      <c r="E23" s="13">
        <v>2.4</v>
      </c>
      <c r="F23" s="14" t="s">
        <v>29</v>
      </c>
    </row>
    <row r="24" ht="22.5" hidden="1" customHeight="1">
      <c r="A24" s="11">
        <v>2025.0</v>
      </c>
      <c r="B24" s="12">
        <v>45729.0</v>
      </c>
      <c r="C24" s="12"/>
      <c r="D24" s="11" t="s">
        <v>42</v>
      </c>
      <c r="E24" s="13">
        <v>56.0</v>
      </c>
      <c r="F24" s="14" t="s">
        <v>43</v>
      </c>
    </row>
    <row r="25" ht="22.5" hidden="1" customHeight="1">
      <c r="A25" s="11">
        <v>2025.0</v>
      </c>
      <c r="B25" s="12">
        <v>45730.0</v>
      </c>
      <c r="C25" s="12"/>
      <c r="D25" s="11" t="s">
        <v>20</v>
      </c>
      <c r="E25" s="13">
        <v>30.0</v>
      </c>
      <c r="F25" s="14" t="s">
        <v>21</v>
      </c>
    </row>
    <row r="26" ht="22.5" hidden="1" customHeight="1">
      <c r="A26" s="11">
        <v>2025.0</v>
      </c>
      <c r="B26" s="12">
        <v>45734.0</v>
      </c>
      <c r="C26" s="12"/>
      <c r="D26" s="11" t="s">
        <v>20</v>
      </c>
      <c r="E26" s="13">
        <v>35.0</v>
      </c>
      <c r="F26" s="14" t="s">
        <v>21</v>
      </c>
    </row>
    <row r="27" ht="22.5" hidden="1" customHeight="1">
      <c r="A27" s="11">
        <v>2025.0</v>
      </c>
      <c r="B27" s="12">
        <v>45734.0</v>
      </c>
      <c r="C27" s="12"/>
      <c r="D27" s="11" t="s">
        <v>20</v>
      </c>
      <c r="E27" s="13">
        <v>30.0</v>
      </c>
      <c r="F27" s="14" t="s">
        <v>21</v>
      </c>
    </row>
    <row r="28" ht="22.5" hidden="1" customHeight="1">
      <c r="A28" s="11">
        <v>2025.0</v>
      </c>
      <c r="B28" s="12">
        <v>45734.0</v>
      </c>
      <c r="C28" s="12"/>
      <c r="D28" s="11" t="s">
        <v>44</v>
      </c>
      <c r="E28" s="13">
        <v>27.6</v>
      </c>
      <c r="F28" s="14" t="s">
        <v>29</v>
      </c>
    </row>
    <row r="29" ht="22.5" hidden="1" customHeight="1">
      <c r="A29" s="11">
        <v>2025.0</v>
      </c>
      <c r="B29" s="12">
        <v>45737.0</v>
      </c>
      <c r="C29" s="12"/>
      <c r="D29" s="11" t="s">
        <v>45</v>
      </c>
      <c r="E29" s="13">
        <v>6.99</v>
      </c>
      <c r="F29" s="14" t="s">
        <v>27</v>
      </c>
    </row>
    <row r="30" ht="22.5" hidden="1" customHeight="1">
      <c r="A30" s="11">
        <v>2025.0</v>
      </c>
      <c r="B30" s="12">
        <v>45745.0</v>
      </c>
      <c r="C30" s="12"/>
      <c r="D30" s="11" t="s">
        <v>46</v>
      </c>
      <c r="E30" s="13">
        <v>14.9</v>
      </c>
      <c r="F30" s="14" t="s">
        <v>27</v>
      </c>
    </row>
    <row r="31" ht="22.5" hidden="1" customHeight="1">
      <c r="A31" s="11">
        <v>2025.0</v>
      </c>
      <c r="B31" s="12">
        <v>45748.0</v>
      </c>
      <c r="C31" s="12"/>
      <c r="D31" s="11" t="s">
        <v>47</v>
      </c>
      <c r="E31" s="13">
        <v>8.0</v>
      </c>
      <c r="F31" s="14" t="s">
        <v>43</v>
      </c>
    </row>
    <row r="32" ht="22.5" hidden="1" customHeight="1">
      <c r="A32" s="11">
        <v>2025.0</v>
      </c>
      <c r="B32" s="12">
        <v>45750.0</v>
      </c>
      <c r="C32" s="12"/>
      <c r="D32" s="11" t="s">
        <v>48</v>
      </c>
      <c r="E32" s="13">
        <v>2.5</v>
      </c>
      <c r="F32" s="14" t="s">
        <v>27</v>
      </c>
    </row>
    <row r="33" ht="22.5" hidden="1" customHeight="1">
      <c r="A33" s="11">
        <v>2025.0</v>
      </c>
      <c r="B33" s="12">
        <v>45751.0</v>
      </c>
      <c r="C33" s="12"/>
      <c r="D33" s="11" t="s">
        <v>49</v>
      </c>
      <c r="E33" s="13">
        <v>29.9</v>
      </c>
      <c r="F33" s="14" t="s">
        <v>31</v>
      </c>
    </row>
    <row r="34" ht="22.5" hidden="1" customHeight="1">
      <c r="A34" s="11">
        <v>2025.0</v>
      </c>
      <c r="B34" s="12">
        <v>45752.0</v>
      </c>
      <c r="C34" s="12"/>
      <c r="D34" s="11" t="s">
        <v>50</v>
      </c>
      <c r="E34" s="13">
        <v>3.0</v>
      </c>
      <c r="F34" s="14" t="s">
        <v>27</v>
      </c>
    </row>
    <row r="35" ht="22.5" hidden="1" customHeight="1">
      <c r="A35" s="11">
        <v>2025.0</v>
      </c>
      <c r="B35" s="12">
        <v>45752.0</v>
      </c>
      <c r="C35" s="12"/>
      <c r="D35" s="11" t="s">
        <v>51</v>
      </c>
      <c r="E35" s="13">
        <v>2.6</v>
      </c>
      <c r="F35" s="14" t="s">
        <v>27</v>
      </c>
    </row>
    <row r="36" ht="22.5" hidden="1" customHeight="1">
      <c r="A36" s="11">
        <v>2025.0</v>
      </c>
      <c r="B36" s="12">
        <v>45753.0</v>
      </c>
      <c r="C36" s="12"/>
      <c r="D36" s="11" t="s">
        <v>52</v>
      </c>
      <c r="E36" s="13">
        <v>38.3</v>
      </c>
      <c r="F36" s="14" t="s">
        <v>27</v>
      </c>
    </row>
    <row r="37" ht="22.5" hidden="1" customHeight="1">
      <c r="A37" s="11">
        <v>2025.0</v>
      </c>
      <c r="B37" s="12">
        <v>45753.0</v>
      </c>
      <c r="C37" s="12"/>
      <c r="D37" s="11" t="s">
        <v>53</v>
      </c>
      <c r="E37" s="13">
        <v>2.0</v>
      </c>
      <c r="F37" s="14" t="s">
        <v>21</v>
      </c>
    </row>
    <row r="38" ht="22.5" hidden="1" customHeight="1">
      <c r="A38" s="11">
        <v>2025.0</v>
      </c>
      <c r="B38" s="12">
        <v>45753.0</v>
      </c>
      <c r="C38" s="12"/>
      <c r="D38" s="11" t="s">
        <v>54</v>
      </c>
      <c r="E38" s="13">
        <v>15.73</v>
      </c>
      <c r="F38" s="14" t="s">
        <v>29</v>
      </c>
    </row>
    <row r="39" ht="22.5" hidden="1" customHeight="1">
      <c r="A39" s="11">
        <v>2025.0</v>
      </c>
      <c r="B39" s="12">
        <v>45758.0</v>
      </c>
      <c r="C39" s="12"/>
      <c r="D39" s="11" t="s">
        <v>55</v>
      </c>
      <c r="E39" s="13">
        <v>60.0</v>
      </c>
      <c r="F39" s="14" t="s">
        <v>43</v>
      </c>
    </row>
    <row r="40" ht="22.5" hidden="1" customHeight="1">
      <c r="A40" s="11">
        <v>2025.0</v>
      </c>
      <c r="B40" s="12">
        <v>45760.0</v>
      </c>
      <c r="C40" s="12"/>
      <c r="D40" s="11" t="s">
        <v>56</v>
      </c>
      <c r="E40" s="13">
        <v>4.5</v>
      </c>
      <c r="F40" s="14" t="s">
        <v>43</v>
      </c>
    </row>
    <row r="41" ht="22.5" hidden="1" customHeight="1">
      <c r="A41" s="11">
        <v>2025.0</v>
      </c>
      <c r="B41" s="12">
        <v>45767.0</v>
      </c>
      <c r="C41" s="12"/>
      <c r="D41" s="11" t="s">
        <v>57</v>
      </c>
      <c r="E41" s="13">
        <v>49.9</v>
      </c>
      <c r="F41" s="14" t="s">
        <v>27</v>
      </c>
    </row>
    <row r="42" ht="22.5" hidden="1" customHeight="1">
      <c r="A42" s="11">
        <v>2025.0</v>
      </c>
      <c r="B42" s="12">
        <v>45768.0</v>
      </c>
      <c r="C42" s="12"/>
      <c r="D42" s="11" t="s">
        <v>58</v>
      </c>
      <c r="E42" s="13">
        <v>6.99</v>
      </c>
      <c r="F42" s="14" t="s">
        <v>27</v>
      </c>
    </row>
    <row r="43" ht="22.5" hidden="1" customHeight="1">
      <c r="A43" s="11">
        <v>2025.0</v>
      </c>
      <c r="B43" s="12">
        <v>45768.0</v>
      </c>
      <c r="C43" s="12"/>
      <c r="D43" s="11" t="s">
        <v>59</v>
      </c>
      <c r="E43" s="13">
        <v>5.5</v>
      </c>
      <c r="F43" s="14" t="s">
        <v>29</v>
      </c>
    </row>
    <row r="44" ht="22.5" hidden="1" customHeight="1">
      <c r="A44" s="11">
        <v>2025.0</v>
      </c>
      <c r="B44" s="12">
        <v>45773.0</v>
      </c>
      <c r="C44" s="12"/>
      <c r="D44" s="11" t="s">
        <v>56</v>
      </c>
      <c r="E44" s="13">
        <v>4.5</v>
      </c>
      <c r="F44" s="14" t="s">
        <v>43</v>
      </c>
    </row>
    <row r="45" ht="22.5" hidden="1" customHeight="1">
      <c r="A45" s="11">
        <v>2025.0</v>
      </c>
      <c r="B45" s="12">
        <v>45776.0</v>
      </c>
      <c r="C45" s="12"/>
      <c r="D45" s="11" t="s">
        <v>60</v>
      </c>
      <c r="E45" s="13">
        <v>17.4</v>
      </c>
      <c r="F45" s="14" t="s">
        <v>29</v>
      </c>
    </row>
    <row r="46" ht="22.5" hidden="1" customHeight="1">
      <c r="A46" s="11">
        <v>2025.0</v>
      </c>
      <c r="B46" s="12">
        <v>45785.0</v>
      </c>
      <c r="C46" s="12"/>
      <c r="D46" s="11" t="s">
        <v>61</v>
      </c>
      <c r="E46" s="13">
        <v>9.99</v>
      </c>
      <c r="F46" s="14" t="s">
        <v>27</v>
      </c>
    </row>
    <row r="47" ht="22.5" hidden="1" customHeight="1">
      <c r="A47" s="11">
        <v>2025.0</v>
      </c>
      <c r="B47" s="12">
        <v>45785.0</v>
      </c>
      <c r="C47" s="12"/>
      <c r="D47" s="11" t="s">
        <v>20</v>
      </c>
      <c r="E47" s="13">
        <v>40.0</v>
      </c>
      <c r="F47" s="14" t="s">
        <v>21</v>
      </c>
    </row>
    <row r="48" ht="22.5" hidden="1" customHeight="1">
      <c r="A48" s="11">
        <v>2025.0</v>
      </c>
      <c r="B48" s="12">
        <v>45787.0</v>
      </c>
      <c r="C48" s="12"/>
      <c r="D48" s="11" t="s">
        <v>62</v>
      </c>
      <c r="E48" s="13">
        <v>7.95</v>
      </c>
      <c r="F48" s="14" t="s">
        <v>29</v>
      </c>
    </row>
    <row r="49" ht="22.5" hidden="1" customHeight="1">
      <c r="A49" s="11">
        <v>2025.0</v>
      </c>
      <c r="B49" s="12">
        <v>45791.0</v>
      </c>
      <c r="C49" s="12"/>
      <c r="D49" s="11" t="s">
        <v>63</v>
      </c>
      <c r="E49" s="13">
        <v>28.0</v>
      </c>
      <c r="F49" s="14" t="s">
        <v>23</v>
      </c>
    </row>
    <row r="50" ht="22.5" hidden="1" customHeight="1">
      <c r="A50" s="11">
        <v>2025.0</v>
      </c>
      <c r="B50" s="12">
        <v>45793.0</v>
      </c>
      <c r="C50" s="12"/>
      <c r="D50" s="11" t="s">
        <v>64</v>
      </c>
      <c r="E50" s="13">
        <v>23.29</v>
      </c>
      <c r="F50" s="14" t="s">
        <v>27</v>
      </c>
    </row>
    <row r="51" ht="22.5" hidden="1" customHeight="1">
      <c r="A51" s="11">
        <v>2025.0</v>
      </c>
      <c r="B51" s="12">
        <v>45792.0</v>
      </c>
      <c r="C51" s="12"/>
      <c r="D51" s="11" t="s">
        <v>20</v>
      </c>
      <c r="E51" s="13">
        <v>46.75</v>
      </c>
      <c r="F51" s="14" t="s">
        <v>21</v>
      </c>
    </row>
    <row r="52" ht="22.5" hidden="1" customHeight="1">
      <c r="A52" s="11">
        <v>2025.0</v>
      </c>
      <c r="B52" s="12">
        <v>45792.0</v>
      </c>
      <c r="C52" s="12"/>
      <c r="D52" s="11" t="s">
        <v>65</v>
      </c>
      <c r="E52" s="13">
        <v>500.0</v>
      </c>
      <c r="F52" s="14" t="s">
        <v>21</v>
      </c>
    </row>
    <row r="53" ht="22.5" hidden="1" customHeight="1">
      <c r="A53" s="11">
        <v>2025.0</v>
      </c>
      <c r="B53" s="12">
        <v>45792.0</v>
      </c>
      <c r="C53" s="12"/>
      <c r="D53" s="11" t="s">
        <v>66</v>
      </c>
      <c r="E53" s="13">
        <v>17.7</v>
      </c>
      <c r="F53" s="14" t="s">
        <v>29</v>
      </c>
    </row>
    <row r="54" ht="22.5" hidden="1" customHeight="1">
      <c r="A54" s="11">
        <v>2025.0</v>
      </c>
      <c r="B54" s="12">
        <v>45798.0</v>
      </c>
      <c r="C54" s="12"/>
      <c r="D54" s="11" t="s">
        <v>45</v>
      </c>
      <c r="E54" s="13">
        <v>6.99</v>
      </c>
      <c r="F54" s="14" t="s">
        <v>27</v>
      </c>
    </row>
    <row r="55" ht="22.5" hidden="1" customHeight="1">
      <c r="A55" s="11">
        <v>2025.0</v>
      </c>
      <c r="B55" s="12">
        <v>45799.0</v>
      </c>
      <c r="C55" s="12"/>
      <c r="D55" s="11" t="s">
        <v>20</v>
      </c>
      <c r="E55" s="13">
        <v>46.77</v>
      </c>
      <c r="F55" s="14" t="s">
        <v>21</v>
      </c>
    </row>
    <row r="56" ht="22.5" hidden="1" customHeight="1">
      <c r="A56" s="11">
        <v>2025.0</v>
      </c>
      <c r="B56" s="12">
        <v>45806.0</v>
      </c>
      <c r="C56" s="12"/>
      <c r="D56" s="11" t="s">
        <v>67</v>
      </c>
      <c r="E56" s="13">
        <v>25.0</v>
      </c>
      <c r="F56" s="14" t="s">
        <v>27</v>
      </c>
    </row>
    <row r="57" ht="22.5" hidden="1" customHeight="1">
      <c r="A57" s="11">
        <v>2025.0</v>
      </c>
      <c r="B57" s="12">
        <v>45806.0</v>
      </c>
      <c r="C57" s="12"/>
      <c r="D57" s="11" t="s">
        <v>68</v>
      </c>
      <c r="E57" s="13">
        <v>50.0</v>
      </c>
      <c r="F57" s="14" t="s">
        <v>27</v>
      </c>
    </row>
    <row r="58" ht="22.5" hidden="1" customHeight="1">
      <c r="A58" s="11">
        <v>2025.0</v>
      </c>
      <c r="B58" s="12">
        <v>45807.0</v>
      </c>
      <c r="C58" s="12"/>
      <c r="D58" s="11" t="s">
        <v>20</v>
      </c>
      <c r="E58" s="13">
        <v>46.71</v>
      </c>
      <c r="F58" s="14" t="s">
        <v>21</v>
      </c>
    </row>
    <row r="59" ht="22.5" hidden="1" customHeight="1">
      <c r="A59" s="11">
        <v>2025.0</v>
      </c>
      <c r="B59" s="12">
        <v>45807.0</v>
      </c>
      <c r="C59" s="12"/>
      <c r="D59" s="11" t="s">
        <v>69</v>
      </c>
      <c r="E59" s="13">
        <v>5.29</v>
      </c>
      <c r="F59" s="14" t="s">
        <v>27</v>
      </c>
    </row>
    <row r="60" ht="22.5" hidden="1" customHeight="1">
      <c r="A60" s="11">
        <v>2025.0</v>
      </c>
      <c r="B60" s="12">
        <v>45807.0</v>
      </c>
      <c r="C60" s="12"/>
      <c r="D60" s="11" t="s">
        <v>70</v>
      </c>
      <c r="E60" s="13">
        <v>17.17</v>
      </c>
      <c r="F60" s="14" t="s">
        <v>27</v>
      </c>
    </row>
    <row r="61" ht="22.5" hidden="1" customHeight="1">
      <c r="A61" s="11">
        <v>2025.0</v>
      </c>
      <c r="B61" s="12">
        <v>45813.0</v>
      </c>
      <c r="C61" s="12"/>
      <c r="D61" s="11" t="s">
        <v>20</v>
      </c>
      <c r="E61" s="13">
        <v>25.0</v>
      </c>
      <c r="F61" s="14" t="s">
        <v>21</v>
      </c>
    </row>
    <row r="62" ht="22.5" hidden="1" customHeight="1">
      <c r="A62" s="11">
        <v>2025.0</v>
      </c>
      <c r="B62" s="12">
        <v>45813.0</v>
      </c>
      <c r="C62" s="12"/>
      <c r="D62" s="11" t="s">
        <v>71</v>
      </c>
      <c r="E62" s="13">
        <v>19.44</v>
      </c>
      <c r="F62" s="14" t="s">
        <v>21</v>
      </c>
    </row>
    <row r="63" ht="22.5" hidden="1" customHeight="1">
      <c r="A63" s="11">
        <v>2025.0</v>
      </c>
      <c r="B63" s="12">
        <v>45815.0</v>
      </c>
      <c r="C63" s="12"/>
      <c r="D63" s="11" t="s">
        <v>72</v>
      </c>
      <c r="E63" s="13">
        <v>2.8</v>
      </c>
      <c r="F63" s="14" t="s">
        <v>27</v>
      </c>
    </row>
    <row r="64" ht="22.5" hidden="1" customHeight="1">
      <c r="A64" s="11">
        <v>2025.0</v>
      </c>
      <c r="B64" s="12"/>
      <c r="C64" s="12"/>
      <c r="D64" s="11" t="s">
        <v>73</v>
      </c>
      <c r="E64" s="13">
        <v>2.0</v>
      </c>
      <c r="F64" s="14" t="s">
        <v>27</v>
      </c>
    </row>
    <row r="65" ht="22.5" hidden="1" customHeight="1">
      <c r="A65" s="11">
        <v>2025.0</v>
      </c>
      <c r="B65" s="12"/>
      <c r="C65" s="12"/>
      <c r="D65" s="11" t="s">
        <v>74</v>
      </c>
      <c r="E65" s="13">
        <v>12.95</v>
      </c>
      <c r="F65" s="14" t="s">
        <v>27</v>
      </c>
    </row>
    <row r="66" ht="22.5" hidden="1" customHeight="1">
      <c r="A66" s="11">
        <v>2025.0</v>
      </c>
      <c r="B66" s="12"/>
      <c r="C66" s="12"/>
      <c r="D66" s="11"/>
      <c r="E66" s="13">
        <v>25.11</v>
      </c>
      <c r="F66" s="16"/>
    </row>
    <row r="67" ht="22.5" hidden="1" customHeight="1">
      <c r="A67" s="11">
        <v>2025.0</v>
      </c>
      <c r="B67" s="12"/>
      <c r="C67" s="12"/>
      <c r="D67" s="11" t="s">
        <v>75</v>
      </c>
      <c r="E67" s="13">
        <v>28.0</v>
      </c>
      <c r="F67" s="14" t="s">
        <v>43</v>
      </c>
    </row>
    <row r="68" ht="22.5" hidden="1" customHeight="1">
      <c r="A68" s="11">
        <v>2025.0</v>
      </c>
      <c r="B68" s="12">
        <v>45828.0</v>
      </c>
      <c r="C68" s="12"/>
      <c r="D68" s="11" t="s">
        <v>76</v>
      </c>
      <c r="E68" s="13">
        <v>6.99</v>
      </c>
      <c r="F68" s="14" t="s">
        <v>27</v>
      </c>
    </row>
    <row r="69" ht="22.5" hidden="1" customHeight="1">
      <c r="A69" s="11">
        <v>2025.0</v>
      </c>
      <c r="B69" s="12">
        <v>45830.0</v>
      </c>
      <c r="C69" s="12"/>
      <c r="D69" s="11" t="s">
        <v>77</v>
      </c>
      <c r="E69" s="13">
        <v>18.8</v>
      </c>
      <c r="F69" s="14" t="s">
        <v>27</v>
      </c>
    </row>
    <row r="70" ht="22.5" hidden="1" customHeight="1">
      <c r="A70" s="11">
        <v>2025.0</v>
      </c>
      <c r="B70" s="12">
        <v>45831.0</v>
      </c>
      <c r="C70" s="12"/>
      <c r="D70" s="11" t="s">
        <v>20</v>
      </c>
      <c r="E70" s="13">
        <v>46.89</v>
      </c>
      <c r="F70" s="14" t="s">
        <v>21</v>
      </c>
    </row>
    <row r="71" ht="22.5" hidden="1" customHeight="1">
      <c r="A71" s="11">
        <v>2025.0</v>
      </c>
      <c r="B71" s="12">
        <v>45832.0</v>
      </c>
      <c r="C71" s="12"/>
      <c r="D71" s="11" t="s">
        <v>78</v>
      </c>
      <c r="E71" s="13">
        <v>118.25</v>
      </c>
      <c r="F71" s="14" t="s">
        <v>43</v>
      </c>
    </row>
    <row r="72" ht="22.5" hidden="1" customHeight="1">
      <c r="A72" s="11">
        <v>2025.0</v>
      </c>
      <c r="B72" s="12">
        <v>45832.0</v>
      </c>
      <c r="C72" s="12"/>
      <c r="D72" s="11" t="s">
        <v>79</v>
      </c>
      <c r="E72" s="13">
        <v>15.0</v>
      </c>
      <c r="F72" s="14" t="s">
        <v>27</v>
      </c>
    </row>
    <row r="73" ht="22.5" hidden="1" customHeight="1">
      <c r="A73" s="11">
        <v>2025.0</v>
      </c>
      <c r="B73" s="12">
        <v>45838.0</v>
      </c>
      <c r="C73" s="12"/>
      <c r="D73" s="11" t="s">
        <v>80</v>
      </c>
      <c r="E73" s="13">
        <v>205.6</v>
      </c>
      <c r="F73" s="14" t="s">
        <v>81</v>
      </c>
    </row>
    <row r="74" ht="22.5" hidden="1" customHeight="1">
      <c r="A74" s="11">
        <v>2025.0</v>
      </c>
      <c r="B74" s="12">
        <v>45807.0</v>
      </c>
      <c r="C74" s="12"/>
      <c r="D74" s="11" t="s">
        <v>82</v>
      </c>
      <c r="E74" s="13">
        <v>14.0</v>
      </c>
      <c r="F74" s="14" t="s">
        <v>34</v>
      </c>
    </row>
    <row r="75" ht="22.5" hidden="1" customHeight="1">
      <c r="A75" s="11">
        <v>2025.0</v>
      </c>
      <c r="B75" s="12">
        <v>45839.0</v>
      </c>
      <c r="C75" s="12"/>
      <c r="D75" s="11" t="s">
        <v>20</v>
      </c>
      <c r="E75" s="13">
        <v>44.57</v>
      </c>
      <c r="F75" s="14" t="s">
        <v>21</v>
      </c>
    </row>
    <row r="76" ht="22.5" hidden="1" customHeight="1">
      <c r="A76" s="11">
        <v>2025.0</v>
      </c>
      <c r="B76" s="12">
        <v>45839.0</v>
      </c>
      <c r="C76" s="12"/>
      <c r="D76" s="11" t="s">
        <v>83</v>
      </c>
      <c r="E76" s="13">
        <v>145.0</v>
      </c>
      <c r="F76" s="14" t="s">
        <v>43</v>
      </c>
    </row>
    <row r="77" ht="22.5" hidden="1" customHeight="1">
      <c r="A77" s="11">
        <v>2025.0</v>
      </c>
      <c r="B77" s="12">
        <v>45845.0</v>
      </c>
      <c r="C77" s="12"/>
      <c r="D77" s="11" t="s">
        <v>84</v>
      </c>
      <c r="E77" s="13">
        <v>74.45</v>
      </c>
      <c r="F77" s="14" t="s">
        <v>29</v>
      </c>
    </row>
    <row r="78" ht="22.5" hidden="1" customHeight="1">
      <c r="A78" s="11">
        <v>2025.0</v>
      </c>
      <c r="B78" s="12">
        <v>45849.0</v>
      </c>
      <c r="C78" s="12"/>
      <c r="D78" s="11" t="s">
        <v>29</v>
      </c>
      <c r="E78" s="13">
        <v>7.2</v>
      </c>
      <c r="F78" s="14" t="s">
        <v>29</v>
      </c>
    </row>
    <row r="79" ht="22.5" hidden="1" customHeight="1">
      <c r="A79" s="11">
        <v>2025.0</v>
      </c>
      <c r="B79" s="12">
        <v>45851.0</v>
      </c>
      <c r="C79" s="12"/>
      <c r="D79" s="11" t="s">
        <v>20</v>
      </c>
      <c r="E79" s="13">
        <v>30.0</v>
      </c>
      <c r="F79" s="14" t="s">
        <v>21</v>
      </c>
    </row>
    <row r="80" ht="22.5" hidden="1" customHeight="1">
      <c r="A80" s="11">
        <v>2025.0</v>
      </c>
      <c r="B80" s="12">
        <v>45852.0</v>
      </c>
      <c r="C80" s="12"/>
      <c r="D80" s="11" t="s">
        <v>85</v>
      </c>
      <c r="E80" s="13">
        <v>19.37</v>
      </c>
      <c r="F80" s="14" t="s">
        <v>27</v>
      </c>
    </row>
    <row r="81" ht="22.5" hidden="1" customHeight="1">
      <c r="A81" s="11">
        <v>2025.0</v>
      </c>
      <c r="B81" s="12">
        <v>45854.0</v>
      </c>
      <c r="C81" s="12"/>
      <c r="D81" s="11" t="s">
        <v>86</v>
      </c>
      <c r="E81" s="13">
        <v>20.0</v>
      </c>
      <c r="F81" s="14" t="s">
        <v>34</v>
      </c>
    </row>
    <row r="82" ht="22.5" hidden="1" customHeight="1">
      <c r="A82" s="11">
        <v>2025.0</v>
      </c>
      <c r="B82" s="12">
        <v>45855.0</v>
      </c>
      <c r="C82" s="12"/>
      <c r="D82" s="11" t="s">
        <v>20</v>
      </c>
      <c r="E82" s="13">
        <v>45.0</v>
      </c>
      <c r="F82" s="14" t="s">
        <v>21</v>
      </c>
    </row>
    <row r="83" ht="22.5" hidden="1" customHeight="1">
      <c r="A83" s="11">
        <v>2025.0</v>
      </c>
      <c r="B83" s="12">
        <v>45856.0</v>
      </c>
      <c r="C83" s="12"/>
      <c r="D83" s="11" t="s">
        <v>87</v>
      </c>
      <c r="E83" s="13">
        <v>-25.0</v>
      </c>
      <c r="F83" s="14" t="s">
        <v>88</v>
      </c>
    </row>
    <row r="84" ht="22.5" hidden="1" customHeight="1">
      <c r="A84" s="11">
        <v>2025.0</v>
      </c>
      <c r="B84" s="12">
        <v>45856.0</v>
      </c>
      <c r="C84" s="12"/>
      <c r="D84" s="11" t="s">
        <v>89</v>
      </c>
      <c r="E84" s="13">
        <v>25.98</v>
      </c>
      <c r="F84" s="14" t="s">
        <v>88</v>
      </c>
    </row>
    <row r="85" ht="22.5" hidden="1" customHeight="1">
      <c r="A85" s="11">
        <v>2025.0</v>
      </c>
      <c r="B85" s="12">
        <v>45859.0</v>
      </c>
      <c r="C85" s="12"/>
      <c r="D85" s="11" t="s">
        <v>58</v>
      </c>
      <c r="E85" s="13">
        <v>6.99</v>
      </c>
      <c r="F85" s="14" t="s">
        <v>27</v>
      </c>
    </row>
    <row r="86" ht="22.5" hidden="1" customHeight="1">
      <c r="A86" s="11">
        <v>2025.0</v>
      </c>
      <c r="B86" s="12">
        <v>45864.0</v>
      </c>
      <c r="C86" s="12"/>
      <c r="D86" s="11" t="s">
        <v>90</v>
      </c>
      <c r="E86" s="13">
        <v>18.16</v>
      </c>
      <c r="F86" s="14" t="s">
        <v>27</v>
      </c>
    </row>
    <row r="87" ht="22.5" hidden="1" customHeight="1">
      <c r="A87" s="11">
        <v>2025.0</v>
      </c>
      <c r="B87" s="12">
        <v>45867.0</v>
      </c>
      <c r="C87" s="12"/>
      <c r="D87" s="11" t="s">
        <v>20</v>
      </c>
      <c r="E87" s="13">
        <v>40.0</v>
      </c>
      <c r="F87" s="14" t="s">
        <v>21</v>
      </c>
    </row>
    <row r="88" ht="22.5" hidden="1" customHeight="1">
      <c r="A88" s="11">
        <v>2025.0</v>
      </c>
      <c r="B88" s="12">
        <v>45872.0</v>
      </c>
      <c r="C88" s="12"/>
      <c r="D88" s="11" t="s">
        <v>30</v>
      </c>
      <c r="E88" s="13">
        <v>29.49</v>
      </c>
      <c r="F88" s="14" t="s">
        <v>31</v>
      </c>
    </row>
    <row r="89" ht="22.5" hidden="1" customHeight="1">
      <c r="A89" s="11">
        <v>2025.0</v>
      </c>
      <c r="B89" s="12">
        <v>45875.0</v>
      </c>
      <c r="C89" s="12"/>
      <c r="D89" s="11" t="s">
        <v>32</v>
      </c>
      <c r="E89" s="13">
        <v>40.0</v>
      </c>
      <c r="F89" s="14" t="s">
        <v>21</v>
      </c>
    </row>
    <row r="90" ht="22.5" hidden="1" customHeight="1">
      <c r="A90" s="11">
        <v>2025.0</v>
      </c>
      <c r="B90" s="12">
        <v>45876.0</v>
      </c>
      <c r="C90" s="12"/>
      <c r="D90" s="11" t="s">
        <v>91</v>
      </c>
      <c r="E90" s="13">
        <v>60.24</v>
      </c>
      <c r="F90" s="14" t="s">
        <v>21</v>
      </c>
    </row>
    <row r="91" ht="22.5" hidden="1" customHeight="1">
      <c r="A91" s="11">
        <v>2025.0</v>
      </c>
      <c r="B91" s="12">
        <v>45877.0</v>
      </c>
      <c r="C91" s="12"/>
      <c r="D91" s="11" t="s">
        <v>92</v>
      </c>
      <c r="E91" s="13">
        <v>14.36</v>
      </c>
      <c r="F91" s="14" t="s">
        <v>27</v>
      </c>
    </row>
    <row r="92" ht="22.5" hidden="1" customHeight="1">
      <c r="A92" s="11">
        <v>2025.0</v>
      </c>
      <c r="B92" s="12">
        <v>45880.0</v>
      </c>
      <c r="C92" s="12"/>
      <c r="D92" s="11" t="s">
        <v>63</v>
      </c>
      <c r="E92" s="13">
        <v>28.0</v>
      </c>
      <c r="F92" s="14" t="s">
        <v>27</v>
      </c>
    </row>
    <row r="93" ht="22.5" hidden="1" customHeight="1">
      <c r="A93" s="11">
        <v>2025.0</v>
      </c>
      <c r="B93" s="12">
        <v>45881.0</v>
      </c>
      <c r="C93" s="12"/>
      <c r="D93" s="11" t="s">
        <v>93</v>
      </c>
      <c r="E93" s="13">
        <v>14.75</v>
      </c>
      <c r="F93" s="14" t="s">
        <v>34</v>
      </c>
    </row>
    <row r="94" ht="22.5" hidden="1" customHeight="1">
      <c r="A94" s="11">
        <v>2025.0</v>
      </c>
      <c r="B94" s="12">
        <v>45883.0</v>
      </c>
      <c r="C94" s="12"/>
      <c r="D94" s="11" t="s">
        <v>94</v>
      </c>
      <c r="E94" s="13">
        <v>50.0</v>
      </c>
      <c r="F94" s="14" t="s">
        <v>21</v>
      </c>
    </row>
    <row r="95" ht="22.5" hidden="1" customHeight="1">
      <c r="A95" s="11">
        <v>2025.0</v>
      </c>
      <c r="B95" s="12">
        <v>45890.0</v>
      </c>
      <c r="C95" s="12"/>
      <c r="D95" s="11" t="s">
        <v>76</v>
      </c>
      <c r="E95" s="13">
        <v>6.99</v>
      </c>
      <c r="F95" s="14" t="s">
        <v>27</v>
      </c>
    </row>
    <row r="96" ht="22.5" hidden="1" customHeight="1">
      <c r="A96" s="11">
        <v>2025.0</v>
      </c>
      <c r="B96" s="12">
        <v>45894.0</v>
      </c>
      <c r="C96" s="12"/>
      <c r="D96" s="11" t="s">
        <v>29</v>
      </c>
      <c r="E96" s="13">
        <v>11.34</v>
      </c>
      <c r="F96" s="14" t="s">
        <v>29</v>
      </c>
    </row>
    <row r="97" ht="22.5" hidden="1" customHeight="1">
      <c r="A97" s="11">
        <v>2025.0</v>
      </c>
      <c r="B97" s="12">
        <v>45895.0</v>
      </c>
      <c r="C97" s="12"/>
      <c r="D97" s="11" t="s">
        <v>20</v>
      </c>
      <c r="E97" s="13">
        <v>50.0</v>
      </c>
      <c r="F97" s="14" t="s">
        <v>21</v>
      </c>
    </row>
    <row r="98" ht="22.5" hidden="1" customHeight="1">
      <c r="A98" s="11">
        <v>2025.0</v>
      </c>
      <c r="B98" s="12">
        <v>45902.0</v>
      </c>
      <c r="C98" s="12"/>
      <c r="D98" s="11" t="s">
        <v>95</v>
      </c>
      <c r="E98" s="13">
        <v>6.0</v>
      </c>
      <c r="F98" s="14" t="s">
        <v>29</v>
      </c>
    </row>
    <row r="99" ht="22.5" hidden="1" customHeight="1">
      <c r="A99" s="11">
        <v>2025.0</v>
      </c>
      <c r="B99" s="12">
        <v>45903.0</v>
      </c>
      <c r="C99" s="12"/>
      <c r="D99" s="11" t="s">
        <v>96</v>
      </c>
      <c r="E99" s="13">
        <v>2.75</v>
      </c>
      <c r="F99" s="14" t="s">
        <v>27</v>
      </c>
    </row>
    <row r="100" ht="22.5" hidden="1" customHeight="1">
      <c r="A100" s="11">
        <v>2025.0</v>
      </c>
      <c r="B100" s="12">
        <v>45905.0</v>
      </c>
      <c r="C100" s="12"/>
      <c r="D100" s="11" t="s">
        <v>97</v>
      </c>
      <c r="E100" s="13">
        <v>10.67</v>
      </c>
      <c r="F100" s="14" t="s">
        <v>29</v>
      </c>
    </row>
    <row r="101" ht="22.5" hidden="1" customHeight="1">
      <c r="A101" s="11">
        <v>2025.0</v>
      </c>
      <c r="B101" s="12">
        <v>45910.0</v>
      </c>
      <c r="C101" s="12"/>
      <c r="D101" s="11" t="s">
        <v>98</v>
      </c>
      <c r="E101" s="13">
        <v>56.64</v>
      </c>
      <c r="F101" s="14" t="s">
        <v>21</v>
      </c>
    </row>
    <row r="102" ht="22.5" hidden="1" customHeight="1">
      <c r="A102" s="11">
        <v>2025.0</v>
      </c>
      <c r="B102" s="12">
        <v>45915.0</v>
      </c>
      <c r="C102" s="12"/>
      <c r="D102" s="11" t="s">
        <v>99</v>
      </c>
      <c r="E102" s="13">
        <v>33.29</v>
      </c>
      <c r="F102" s="14" t="s">
        <v>27</v>
      </c>
    </row>
    <row r="103" ht="22.5" hidden="1" customHeight="1">
      <c r="A103" s="11">
        <v>2025.0</v>
      </c>
      <c r="B103" s="12">
        <v>45918.0</v>
      </c>
      <c r="C103" s="12"/>
      <c r="D103" s="11" t="s">
        <v>100</v>
      </c>
      <c r="E103" s="13">
        <v>11.45</v>
      </c>
      <c r="F103" s="14" t="s">
        <v>29</v>
      </c>
    </row>
    <row r="104" ht="22.5" hidden="1" customHeight="1">
      <c r="A104" s="11">
        <v>2025.0</v>
      </c>
      <c r="B104" s="12">
        <v>45919.0</v>
      </c>
      <c r="C104" s="12"/>
      <c r="D104" s="11" t="s">
        <v>101</v>
      </c>
      <c r="E104" s="13">
        <v>7.3</v>
      </c>
      <c r="F104" s="14" t="s">
        <v>29</v>
      </c>
    </row>
    <row r="105" ht="22.5" hidden="1" customHeight="1">
      <c r="A105" s="11">
        <v>2025.0</v>
      </c>
      <c r="B105" s="12">
        <v>45920.0</v>
      </c>
      <c r="C105" s="12"/>
      <c r="D105" s="11" t="s">
        <v>102</v>
      </c>
      <c r="E105" s="13">
        <v>319.0</v>
      </c>
      <c r="F105" s="14" t="s">
        <v>88</v>
      </c>
    </row>
    <row r="106" ht="22.5" hidden="1" customHeight="1">
      <c r="A106" s="11">
        <v>2025.0</v>
      </c>
      <c r="B106" s="12">
        <v>45920.0</v>
      </c>
      <c r="C106" s="12"/>
      <c r="D106" s="11" t="s">
        <v>103</v>
      </c>
      <c r="E106" s="13">
        <v>7.88</v>
      </c>
      <c r="F106" s="14" t="s">
        <v>88</v>
      </c>
    </row>
    <row r="107" ht="22.5" hidden="1" customHeight="1">
      <c r="A107" s="11">
        <v>2025.0</v>
      </c>
      <c r="B107" s="12">
        <v>45921.0</v>
      </c>
      <c r="C107" s="12"/>
      <c r="D107" s="11" t="s">
        <v>58</v>
      </c>
      <c r="E107" s="13">
        <v>6.99</v>
      </c>
      <c r="F107" s="14" t="s">
        <v>27</v>
      </c>
    </row>
    <row r="108" ht="22.5" hidden="1" customHeight="1">
      <c r="A108" s="11">
        <v>2025.0</v>
      </c>
      <c r="B108" s="12">
        <v>45921.0</v>
      </c>
      <c r="C108" s="12"/>
      <c r="D108" s="11" t="s">
        <v>104</v>
      </c>
      <c r="E108" s="13">
        <v>2.5</v>
      </c>
      <c r="F108" s="14" t="s">
        <v>27</v>
      </c>
    </row>
    <row r="109" ht="22.5" hidden="1" customHeight="1">
      <c r="A109" s="11">
        <v>2025.0</v>
      </c>
      <c r="B109" s="12">
        <v>45921.0</v>
      </c>
      <c r="C109" s="12"/>
      <c r="D109" s="11" t="s">
        <v>105</v>
      </c>
      <c r="E109" s="13">
        <v>9.0</v>
      </c>
      <c r="F109" s="14" t="s">
        <v>29</v>
      </c>
    </row>
    <row r="110" ht="22.5" hidden="1" customHeight="1">
      <c r="A110" s="11">
        <v>2025.0</v>
      </c>
      <c r="B110" s="12">
        <v>45925.0</v>
      </c>
      <c r="C110" s="12"/>
      <c r="D110" s="11" t="s">
        <v>106</v>
      </c>
      <c r="E110" s="13">
        <v>3.55</v>
      </c>
      <c r="F110" s="14" t="s">
        <v>88</v>
      </c>
    </row>
    <row r="111" ht="22.5" hidden="1" customHeight="1">
      <c r="A111" s="11">
        <v>2025.0</v>
      </c>
      <c r="B111" s="12">
        <v>45927.0</v>
      </c>
      <c r="C111" s="12"/>
      <c r="D111" s="11" t="s">
        <v>20</v>
      </c>
      <c r="E111" s="13">
        <v>40.0</v>
      </c>
      <c r="F111" s="14" t="s">
        <v>21</v>
      </c>
    </row>
    <row r="112" ht="22.5" hidden="1" customHeight="1">
      <c r="A112" s="11">
        <v>2025.0</v>
      </c>
      <c r="B112" s="12">
        <v>45933.0</v>
      </c>
      <c r="C112" s="12"/>
      <c r="D112" s="11" t="s">
        <v>20</v>
      </c>
      <c r="E112" s="13">
        <v>40.0</v>
      </c>
      <c r="F112" s="14" t="s">
        <v>21</v>
      </c>
    </row>
    <row r="113" ht="22.5" hidden="1" customHeight="1">
      <c r="A113" s="11">
        <v>2025.0</v>
      </c>
      <c r="B113" s="12">
        <v>45936.0</v>
      </c>
      <c r="C113" s="12"/>
      <c r="D113" s="11" t="s">
        <v>107</v>
      </c>
      <c r="E113" s="13">
        <v>160.0</v>
      </c>
      <c r="F113" s="14" t="s">
        <v>27</v>
      </c>
    </row>
    <row r="114" ht="22.5" hidden="1" customHeight="1">
      <c r="A114" s="11">
        <v>2025.0</v>
      </c>
      <c r="B114" s="12">
        <v>45938.0</v>
      </c>
      <c r="C114" s="12"/>
      <c r="D114" s="11" t="s">
        <v>29</v>
      </c>
      <c r="E114" s="13">
        <v>7.25</v>
      </c>
      <c r="F114" s="14" t="s">
        <v>29</v>
      </c>
    </row>
    <row r="115" ht="22.5" hidden="1" customHeight="1">
      <c r="A115" s="11">
        <v>2025.0</v>
      </c>
      <c r="B115" s="12">
        <v>45938.0</v>
      </c>
      <c r="C115" s="12"/>
      <c r="D115" s="11" t="s">
        <v>20</v>
      </c>
      <c r="E115" s="13">
        <v>38.47</v>
      </c>
      <c r="F115" s="14" t="s">
        <v>21</v>
      </c>
    </row>
    <row r="116" ht="22.5" hidden="1" customHeight="1">
      <c r="A116" s="11">
        <v>2025.0</v>
      </c>
      <c r="B116" s="12">
        <v>45945.0</v>
      </c>
      <c r="C116" s="12"/>
      <c r="D116" s="11" t="s">
        <v>20</v>
      </c>
      <c r="E116" s="13">
        <v>73.62</v>
      </c>
      <c r="F116" s="14" t="s">
        <v>21</v>
      </c>
    </row>
    <row r="117" ht="22.5" hidden="1" customHeight="1">
      <c r="A117" s="11">
        <v>2025.0</v>
      </c>
      <c r="B117" s="12">
        <v>45947.0</v>
      </c>
      <c r="C117" s="12"/>
      <c r="D117" s="11" t="s">
        <v>101</v>
      </c>
      <c r="E117" s="13">
        <v>6.0</v>
      </c>
      <c r="F117" s="14" t="s">
        <v>29</v>
      </c>
    </row>
    <row r="118" ht="22.5" hidden="1" customHeight="1">
      <c r="A118" s="11">
        <v>2025.0</v>
      </c>
      <c r="B118" s="12">
        <v>45950.0</v>
      </c>
      <c r="C118" s="12"/>
      <c r="D118" s="11" t="s">
        <v>101</v>
      </c>
      <c r="E118" s="13">
        <v>2.2</v>
      </c>
      <c r="F118" s="14" t="s">
        <v>29</v>
      </c>
    </row>
    <row r="119" ht="22.5" hidden="1" customHeight="1">
      <c r="A119" s="11">
        <v>2025.0</v>
      </c>
      <c r="B119" s="12">
        <v>45950.0</v>
      </c>
      <c r="C119" s="12"/>
      <c r="D119" s="11" t="s">
        <v>108</v>
      </c>
      <c r="E119" s="13">
        <v>12.0</v>
      </c>
      <c r="F119" s="14" t="s">
        <v>29</v>
      </c>
    </row>
    <row r="120" ht="22.5" hidden="1" customHeight="1">
      <c r="A120" s="11">
        <v>2025.0</v>
      </c>
      <c r="B120" s="12">
        <v>45951.0</v>
      </c>
      <c r="C120" s="12"/>
      <c r="D120" s="11" t="s">
        <v>76</v>
      </c>
      <c r="E120" s="13">
        <v>6.99</v>
      </c>
      <c r="F120" s="14" t="s">
        <v>27</v>
      </c>
    </row>
    <row r="121" ht="22.5" hidden="1" customHeight="1">
      <c r="A121" s="11">
        <v>2025.0</v>
      </c>
      <c r="B121" s="12">
        <v>45956.0</v>
      </c>
      <c r="C121" s="12"/>
      <c r="D121" s="11" t="s">
        <v>77</v>
      </c>
      <c r="E121" s="13">
        <v>10.4</v>
      </c>
      <c r="F121" s="14" t="s">
        <v>27</v>
      </c>
    </row>
    <row r="122" ht="22.5" hidden="1" customHeight="1">
      <c r="A122" s="11">
        <v>2025.0</v>
      </c>
      <c r="B122" s="12">
        <v>45957.0</v>
      </c>
      <c r="C122" s="12"/>
      <c r="D122" s="11" t="s">
        <v>20</v>
      </c>
      <c r="E122" s="13">
        <v>40.0</v>
      </c>
      <c r="F122" s="14" t="s">
        <v>21</v>
      </c>
    </row>
    <row r="123" ht="22.5" hidden="1" customHeight="1">
      <c r="A123" s="11">
        <v>2025.0</v>
      </c>
      <c r="B123" s="12">
        <v>45963.0</v>
      </c>
      <c r="C123" s="12"/>
      <c r="D123" s="11" t="s">
        <v>109</v>
      </c>
      <c r="E123" s="13">
        <v>42.19</v>
      </c>
      <c r="F123" s="14" t="s">
        <v>27</v>
      </c>
    </row>
    <row r="124" ht="22.5" hidden="1" customHeight="1">
      <c r="A124" s="11">
        <v>2025.0</v>
      </c>
      <c r="B124" s="12">
        <v>45965.0</v>
      </c>
      <c r="C124" s="12"/>
      <c r="D124" s="11" t="s">
        <v>29</v>
      </c>
      <c r="E124" s="13">
        <v>23.39</v>
      </c>
      <c r="F124" s="14" t="s">
        <v>29</v>
      </c>
    </row>
    <row r="125" ht="22.5" hidden="1" customHeight="1">
      <c r="A125" s="11">
        <v>2025.0</v>
      </c>
      <c r="B125" s="12">
        <v>45966.0</v>
      </c>
      <c r="C125" s="12"/>
      <c r="D125" s="11" t="s">
        <v>80</v>
      </c>
      <c r="E125" s="13">
        <v>137.06</v>
      </c>
      <c r="F125" s="16" t="s">
        <v>81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22.5" hidden="1" customHeight="1">
      <c r="A126" s="18">
        <v>2025.0</v>
      </c>
      <c r="B126" s="12">
        <v>45966.0</v>
      </c>
      <c r="C126" s="12"/>
      <c r="D126" s="19" t="s">
        <v>110</v>
      </c>
      <c r="E126" s="20">
        <v>8.78</v>
      </c>
      <c r="F126" s="21" t="s">
        <v>31</v>
      </c>
    </row>
    <row r="127" ht="22.5" hidden="1" customHeight="1">
      <c r="A127" s="18">
        <v>2025.0</v>
      </c>
      <c r="B127" s="12">
        <v>45970.0</v>
      </c>
      <c r="C127" s="12"/>
      <c r="D127" s="11" t="s">
        <v>20</v>
      </c>
      <c r="E127" s="13">
        <v>40.0</v>
      </c>
      <c r="F127" s="14" t="s">
        <v>21</v>
      </c>
    </row>
    <row r="128" ht="22.5" hidden="1" customHeight="1">
      <c r="A128" s="18">
        <v>2025.0</v>
      </c>
      <c r="B128" s="12">
        <v>45977.0</v>
      </c>
      <c r="C128" s="12"/>
      <c r="D128" s="11" t="s">
        <v>20</v>
      </c>
      <c r="E128" s="13">
        <v>40.0</v>
      </c>
      <c r="F128" s="14" t="s">
        <v>21</v>
      </c>
    </row>
    <row r="129" ht="22.5" hidden="1" customHeight="1">
      <c r="A129" s="18">
        <v>2025.0</v>
      </c>
      <c r="B129" s="12">
        <v>45980.0</v>
      </c>
      <c r="C129" s="12"/>
      <c r="D129" s="11" t="s">
        <v>111</v>
      </c>
      <c r="E129" s="13">
        <v>1.96</v>
      </c>
      <c r="F129" s="14" t="s">
        <v>29</v>
      </c>
    </row>
    <row r="130" ht="22.5" hidden="1" customHeight="1">
      <c r="A130" s="18">
        <v>2025.0</v>
      </c>
      <c r="B130" s="12">
        <v>45982.0</v>
      </c>
      <c r="C130" s="12"/>
      <c r="D130" s="11" t="s">
        <v>76</v>
      </c>
      <c r="E130" s="13">
        <v>6.99</v>
      </c>
      <c r="F130" s="14" t="s">
        <v>27</v>
      </c>
    </row>
    <row r="131" ht="22.5" hidden="1" customHeight="1">
      <c r="A131" s="18">
        <v>2025.0</v>
      </c>
      <c r="B131" s="12">
        <v>45982.0</v>
      </c>
      <c r="C131" s="12"/>
      <c r="D131" s="11" t="s">
        <v>112</v>
      </c>
      <c r="E131" s="13">
        <v>3.55</v>
      </c>
      <c r="F131" s="14" t="s">
        <v>31</v>
      </c>
    </row>
    <row r="132" ht="22.5" hidden="1" customHeight="1">
      <c r="A132" s="18">
        <v>2025.0</v>
      </c>
      <c r="B132" s="12">
        <v>45986.0</v>
      </c>
      <c r="C132" s="12"/>
      <c r="D132" s="11" t="s">
        <v>20</v>
      </c>
      <c r="E132" s="13">
        <v>35.32</v>
      </c>
      <c r="F132" s="14" t="s">
        <v>21</v>
      </c>
    </row>
    <row r="133" ht="22.5" hidden="1" customHeight="1">
      <c r="A133" s="18">
        <v>2025.0</v>
      </c>
      <c r="B133" s="12">
        <v>45990.0</v>
      </c>
      <c r="C133" s="12"/>
      <c r="D133" s="11" t="s">
        <v>20</v>
      </c>
      <c r="E133" s="13">
        <v>40.0</v>
      </c>
      <c r="F133" s="14" t="s">
        <v>21</v>
      </c>
    </row>
    <row r="134" ht="22.5" hidden="1" customHeight="1">
      <c r="A134" s="18">
        <v>2025.0</v>
      </c>
      <c r="B134" s="12">
        <v>45990.0</v>
      </c>
      <c r="C134" s="12"/>
      <c r="D134" s="11" t="s">
        <v>101</v>
      </c>
      <c r="E134" s="13">
        <v>8.7</v>
      </c>
      <c r="F134" s="14" t="s">
        <v>29</v>
      </c>
    </row>
    <row r="135" ht="22.5" hidden="1" customHeight="1">
      <c r="A135" s="18">
        <v>2025.0</v>
      </c>
      <c r="B135" s="12">
        <v>45994.0</v>
      </c>
      <c r="C135" s="12"/>
      <c r="D135" s="11" t="s">
        <v>113</v>
      </c>
      <c r="E135" s="13">
        <v>8.0</v>
      </c>
      <c r="F135" s="14" t="s">
        <v>29</v>
      </c>
    </row>
    <row r="136" ht="22.5" hidden="1" customHeight="1">
      <c r="A136" s="18">
        <v>2025.0</v>
      </c>
      <c r="B136" s="12">
        <v>45999.0</v>
      </c>
      <c r="C136" s="12"/>
      <c r="D136" s="11" t="s">
        <v>114</v>
      </c>
      <c r="E136" s="13">
        <v>27.91</v>
      </c>
      <c r="F136" s="14" t="s">
        <v>21</v>
      </c>
    </row>
    <row r="137" ht="22.5" hidden="1" customHeight="1">
      <c r="A137" s="18">
        <v>2025.0</v>
      </c>
      <c r="B137" s="12">
        <v>45999.0</v>
      </c>
      <c r="C137" s="12"/>
      <c r="D137" s="11" t="s">
        <v>115</v>
      </c>
      <c r="E137" s="13">
        <v>10.0</v>
      </c>
      <c r="F137" s="14" t="s">
        <v>27</v>
      </c>
    </row>
    <row r="138" ht="22.5" hidden="1" customHeight="1">
      <c r="A138" s="18">
        <v>2025.0</v>
      </c>
      <c r="B138" s="12">
        <v>46001.0</v>
      </c>
      <c r="C138" s="12"/>
      <c r="D138" s="11" t="s">
        <v>20</v>
      </c>
      <c r="E138" s="13">
        <v>30.0</v>
      </c>
      <c r="F138" s="14" t="s">
        <v>21</v>
      </c>
    </row>
    <row r="139" ht="22.5" hidden="1" customHeight="1">
      <c r="A139" s="18">
        <v>2025.0</v>
      </c>
      <c r="B139" s="12">
        <v>46002.0</v>
      </c>
      <c r="C139" s="12"/>
      <c r="D139" s="11" t="s">
        <v>104</v>
      </c>
      <c r="E139" s="13">
        <v>2.5</v>
      </c>
      <c r="F139" s="14" t="s">
        <v>27</v>
      </c>
    </row>
    <row r="140" ht="22.5" hidden="1" customHeight="1">
      <c r="A140" s="18">
        <v>2025.0</v>
      </c>
      <c r="B140" s="12">
        <v>46003.0</v>
      </c>
      <c r="C140" s="12"/>
      <c r="D140" s="11" t="s">
        <v>116</v>
      </c>
      <c r="E140" s="13">
        <v>33.87</v>
      </c>
      <c r="F140" s="14" t="s">
        <v>29</v>
      </c>
    </row>
    <row r="141" ht="22.5" hidden="1" customHeight="1">
      <c r="A141" s="18">
        <v>2025.0</v>
      </c>
      <c r="B141" s="12">
        <v>46003.0</v>
      </c>
      <c r="C141" s="12"/>
      <c r="D141" s="11" t="s">
        <v>117</v>
      </c>
      <c r="E141" s="13">
        <v>27.91</v>
      </c>
      <c r="F141" s="14" t="s">
        <v>21</v>
      </c>
    </row>
    <row r="142" ht="22.5" hidden="1" customHeight="1">
      <c r="A142" s="18">
        <v>2025.0</v>
      </c>
      <c r="B142" s="12">
        <v>46006.0</v>
      </c>
      <c r="C142" s="12"/>
      <c r="D142" s="11" t="s">
        <v>118</v>
      </c>
      <c r="E142" s="13">
        <v>3.9</v>
      </c>
      <c r="F142" s="14" t="s">
        <v>29</v>
      </c>
    </row>
    <row r="143" ht="22.5" hidden="1" customHeight="1">
      <c r="A143" s="18">
        <v>2025.0</v>
      </c>
      <c r="B143" s="12">
        <v>46007.0</v>
      </c>
      <c r="C143" s="12"/>
      <c r="D143" s="11" t="s">
        <v>119</v>
      </c>
      <c r="E143" s="13">
        <v>16.95</v>
      </c>
      <c r="F143" s="14" t="s">
        <v>29</v>
      </c>
    </row>
    <row r="144" ht="22.5" hidden="1" customHeight="1">
      <c r="A144" s="18">
        <v>2025.0</v>
      </c>
      <c r="B144" s="12">
        <v>46007.0</v>
      </c>
      <c r="C144" s="12"/>
      <c r="D144" s="11" t="s">
        <v>120</v>
      </c>
      <c r="E144" s="13">
        <v>11.5</v>
      </c>
      <c r="F144" s="14" t="s">
        <v>29</v>
      </c>
    </row>
    <row r="145" ht="22.5" hidden="1" customHeight="1">
      <c r="A145" s="18">
        <v>2025.0</v>
      </c>
      <c r="B145" s="12">
        <v>46010.0</v>
      </c>
      <c r="C145" s="12"/>
      <c r="D145" s="11" t="s">
        <v>20</v>
      </c>
      <c r="E145" s="13">
        <v>40.0</v>
      </c>
      <c r="F145" s="14" t="s">
        <v>21</v>
      </c>
    </row>
    <row r="146" ht="22.5" hidden="1" customHeight="1">
      <c r="A146" s="18">
        <v>2025.0</v>
      </c>
      <c r="B146" s="12">
        <v>46011.0</v>
      </c>
      <c r="C146" s="12"/>
      <c r="D146" s="11" t="s">
        <v>121</v>
      </c>
      <c r="E146" s="13">
        <v>56.2</v>
      </c>
      <c r="F146" s="14" t="s">
        <v>29</v>
      </c>
    </row>
    <row r="147" ht="22.5" hidden="1" customHeight="1">
      <c r="A147" s="18">
        <v>2025.0</v>
      </c>
      <c r="B147" s="12">
        <v>46012.0</v>
      </c>
      <c r="C147" s="12"/>
      <c r="D147" s="11" t="s">
        <v>58</v>
      </c>
      <c r="E147" s="13">
        <v>6.99</v>
      </c>
      <c r="F147" s="14" t="s">
        <v>27</v>
      </c>
    </row>
    <row r="148" ht="22.5" hidden="1" customHeight="1">
      <c r="A148" s="18">
        <v>2025.0</v>
      </c>
      <c r="B148" s="12">
        <v>46014.0</v>
      </c>
      <c r="C148" s="12"/>
      <c r="D148" s="11" t="s">
        <v>122</v>
      </c>
      <c r="E148" s="13">
        <v>0.8</v>
      </c>
      <c r="F148" s="14" t="s">
        <v>29</v>
      </c>
    </row>
    <row r="149" ht="22.5" hidden="1" customHeight="1">
      <c r="A149" s="18">
        <v>2025.0</v>
      </c>
      <c r="B149" s="12">
        <v>46014.0</v>
      </c>
      <c r="C149" s="12"/>
      <c r="D149" s="11" t="s">
        <v>101</v>
      </c>
      <c r="E149" s="13">
        <v>7.1</v>
      </c>
      <c r="F149" s="14" t="s">
        <v>29</v>
      </c>
    </row>
    <row r="150" ht="22.5" hidden="1" customHeight="1">
      <c r="A150" s="18">
        <v>2025.0</v>
      </c>
      <c r="B150" s="12">
        <v>46015.0</v>
      </c>
      <c r="C150" s="12"/>
      <c r="D150" s="11" t="s">
        <v>123</v>
      </c>
      <c r="E150" s="13">
        <v>2.6</v>
      </c>
      <c r="F150" s="14" t="s">
        <v>29</v>
      </c>
    </row>
    <row r="151" ht="22.5" hidden="1" customHeight="1">
      <c r="A151" s="18">
        <v>2025.0</v>
      </c>
      <c r="B151" s="12">
        <v>46015.0</v>
      </c>
      <c r="C151" s="12"/>
      <c r="D151" s="11" t="s">
        <v>20</v>
      </c>
      <c r="E151" s="13">
        <v>40.0</v>
      </c>
      <c r="F151" s="14" t="s">
        <v>21</v>
      </c>
    </row>
    <row r="152" ht="22.5" hidden="1" customHeight="1">
      <c r="A152" s="18">
        <v>2025.0</v>
      </c>
      <c r="B152" s="12">
        <v>46022.0</v>
      </c>
      <c r="C152" s="12"/>
      <c r="D152" s="11" t="s">
        <v>29</v>
      </c>
      <c r="E152" s="13">
        <v>0.8</v>
      </c>
      <c r="F152" s="14" t="s">
        <v>29</v>
      </c>
    </row>
    <row r="153" ht="22.5" hidden="1" customHeight="1">
      <c r="A153" s="18">
        <v>2025.0</v>
      </c>
      <c r="B153" s="12">
        <v>46022.0</v>
      </c>
      <c r="C153" s="12"/>
      <c r="D153" s="11" t="s">
        <v>29</v>
      </c>
      <c r="E153" s="13">
        <v>13.05</v>
      </c>
      <c r="F153" s="14" t="s">
        <v>29</v>
      </c>
    </row>
    <row r="154" ht="22.5" hidden="1" customHeight="1">
      <c r="A154" s="18">
        <v>2025.0</v>
      </c>
      <c r="B154" s="12">
        <v>46022.0</v>
      </c>
      <c r="C154" s="12"/>
      <c r="D154" s="11" t="s">
        <v>29</v>
      </c>
      <c r="E154" s="13">
        <v>3.45</v>
      </c>
      <c r="F154" s="14" t="s">
        <v>29</v>
      </c>
    </row>
    <row r="155" ht="22.5" hidden="1" customHeight="1">
      <c r="A155" s="18">
        <v>2026.0</v>
      </c>
      <c r="B155" s="12">
        <v>46025.0</v>
      </c>
      <c r="C155" s="12"/>
      <c r="D155" s="11" t="s">
        <v>124</v>
      </c>
      <c r="E155" s="13">
        <v>30.0</v>
      </c>
      <c r="F155" s="14" t="s">
        <v>27</v>
      </c>
    </row>
    <row r="156" ht="22.5" hidden="1" customHeight="1">
      <c r="A156" s="18">
        <v>2026.0</v>
      </c>
      <c r="B156" s="12">
        <v>46026.0</v>
      </c>
      <c r="C156" s="12"/>
      <c r="D156" s="11" t="s">
        <v>98</v>
      </c>
      <c r="E156" s="13">
        <v>30.0</v>
      </c>
      <c r="F156" s="14" t="s">
        <v>21</v>
      </c>
    </row>
    <row r="157" ht="22.5" hidden="1" customHeight="1">
      <c r="A157" s="18">
        <v>2026.0</v>
      </c>
      <c r="B157" s="12">
        <v>46026.0</v>
      </c>
      <c r="C157" s="12"/>
      <c r="D157" s="11" t="s">
        <v>101</v>
      </c>
      <c r="E157" s="13">
        <v>26.0</v>
      </c>
      <c r="F157" s="14" t="s">
        <v>27</v>
      </c>
    </row>
    <row r="158" ht="22.5" hidden="1" customHeight="1">
      <c r="A158" s="18">
        <v>2026.0</v>
      </c>
      <c r="B158" s="12">
        <v>46029.0</v>
      </c>
      <c r="C158" s="12"/>
      <c r="D158" s="11" t="s">
        <v>125</v>
      </c>
      <c r="E158" s="13">
        <v>142.89</v>
      </c>
      <c r="F158" s="14" t="s">
        <v>24</v>
      </c>
    </row>
    <row r="159" ht="22.5" hidden="1" customHeight="1">
      <c r="A159" s="18">
        <v>2026.0</v>
      </c>
      <c r="B159" s="12">
        <v>46024.0</v>
      </c>
      <c r="C159" s="12"/>
      <c r="D159" s="11" t="s">
        <v>126</v>
      </c>
      <c r="E159" s="13">
        <v>3.4</v>
      </c>
      <c r="F159" s="14" t="s">
        <v>29</v>
      </c>
    </row>
    <row r="160" ht="22.5" hidden="1" customHeight="1">
      <c r="A160" s="18">
        <v>2026.0</v>
      </c>
      <c r="B160" s="12">
        <v>46030.0</v>
      </c>
      <c r="C160" s="12"/>
      <c r="D160" s="11" t="s">
        <v>98</v>
      </c>
      <c r="E160" s="13">
        <v>48.0</v>
      </c>
      <c r="F160" s="14" t="s">
        <v>21</v>
      </c>
    </row>
    <row r="161" ht="22.5" hidden="1" customHeight="1">
      <c r="A161" s="18">
        <v>2026.0</v>
      </c>
      <c r="B161" s="12">
        <v>46032.0</v>
      </c>
      <c r="C161" s="12"/>
      <c r="D161" s="11" t="s">
        <v>127</v>
      </c>
      <c r="E161" s="13">
        <v>25.95</v>
      </c>
      <c r="F161" s="14" t="s">
        <v>31</v>
      </c>
    </row>
    <row r="162" ht="22.5" hidden="1" customHeight="1">
      <c r="A162" s="18">
        <v>2026.0</v>
      </c>
      <c r="B162" s="12">
        <v>46038.0</v>
      </c>
      <c r="C162" s="12"/>
      <c r="D162" s="11" t="s">
        <v>128</v>
      </c>
      <c r="E162" s="13">
        <v>5.8</v>
      </c>
      <c r="F162" s="14" t="s">
        <v>29</v>
      </c>
    </row>
    <row r="163" ht="22.5" hidden="1" customHeight="1">
      <c r="A163" s="18">
        <v>2026.0</v>
      </c>
      <c r="B163" s="12">
        <v>46041.0</v>
      </c>
      <c r="C163" s="12"/>
      <c r="D163" s="11" t="s">
        <v>29</v>
      </c>
      <c r="E163" s="13">
        <v>4.5</v>
      </c>
      <c r="F163" s="14" t="s">
        <v>29</v>
      </c>
    </row>
    <row r="164" ht="22.5" hidden="1" customHeight="1">
      <c r="A164" s="18">
        <v>2026.0</v>
      </c>
      <c r="B164" s="9">
        <v>46041.0</v>
      </c>
      <c r="C164" s="9"/>
      <c r="D164" s="4" t="s">
        <v>129</v>
      </c>
      <c r="E164" s="5">
        <v>25.0</v>
      </c>
      <c r="F164" s="10" t="s">
        <v>23</v>
      </c>
    </row>
    <row r="165" ht="22.5" hidden="1" customHeight="1">
      <c r="A165" s="18">
        <v>2026.0</v>
      </c>
      <c r="B165" s="12">
        <v>46043.0</v>
      </c>
      <c r="C165" s="12"/>
      <c r="D165" s="11" t="s">
        <v>76</v>
      </c>
      <c r="E165" s="13">
        <v>6.99</v>
      </c>
      <c r="F165" s="14" t="s">
        <v>27</v>
      </c>
    </row>
    <row r="166" ht="22.5" hidden="1" customHeight="1">
      <c r="A166" s="18">
        <v>2026.0</v>
      </c>
      <c r="B166" s="12">
        <v>46045.0</v>
      </c>
      <c r="C166" s="12"/>
      <c r="D166" s="11" t="s">
        <v>130</v>
      </c>
      <c r="E166" s="13">
        <v>1.18</v>
      </c>
      <c r="F166" s="14" t="s">
        <v>29</v>
      </c>
    </row>
    <row r="167" ht="22.5" hidden="1" customHeight="1">
      <c r="A167" s="18">
        <v>2026.0</v>
      </c>
      <c r="B167" s="12">
        <v>46046.0</v>
      </c>
      <c r="C167" s="12"/>
      <c r="D167" s="11" t="s">
        <v>94</v>
      </c>
      <c r="E167" s="13">
        <v>40.0</v>
      </c>
      <c r="F167" s="14" t="s">
        <v>21</v>
      </c>
    </row>
    <row r="168" ht="22.5" hidden="1" customHeight="1">
      <c r="A168" s="18">
        <v>2026.0</v>
      </c>
      <c r="B168" s="12">
        <v>46046.0</v>
      </c>
      <c r="C168" s="12"/>
      <c r="D168" s="11" t="s">
        <v>131</v>
      </c>
      <c r="E168" s="13">
        <v>300.0</v>
      </c>
      <c r="F168" s="14" t="s">
        <v>21</v>
      </c>
    </row>
    <row r="169" ht="22.5" hidden="1" customHeight="1">
      <c r="A169" s="18">
        <v>2026.0</v>
      </c>
      <c r="B169" s="12">
        <v>46048.0</v>
      </c>
      <c r="C169" s="12"/>
      <c r="D169" s="11" t="s">
        <v>29</v>
      </c>
      <c r="E169" s="13">
        <v>13.95</v>
      </c>
      <c r="F169" s="14" t="s">
        <v>29</v>
      </c>
    </row>
    <row r="170" ht="22.5" hidden="1" customHeight="1">
      <c r="A170" s="18">
        <v>2026.0</v>
      </c>
      <c r="B170" s="12">
        <v>46057.0</v>
      </c>
      <c r="C170" s="12"/>
      <c r="D170" s="11" t="s">
        <v>132</v>
      </c>
      <c r="E170" s="13">
        <v>2.1</v>
      </c>
      <c r="F170" s="14" t="s">
        <v>29</v>
      </c>
    </row>
    <row r="171" ht="22.5" hidden="1" customHeight="1">
      <c r="A171" s="18">
        <v>2026.0</v>
      </c>
      <c r="B171" s="12">
        <v>46055.0</v>
      </c>
      <c r="C171" s="12"/>
      <c r="D171" s="11" t="s">
        <v>98</v>
      </c>
      <c r="E171" s="13">
        <v>40.0</v>
      </c>
      <c r="F171" s="14" t="s">
        <v>21</v>
      </c>
    </row>
    <row r="172" ht="22.5" hidden="1" customHeight="1">
      <c r="A172" s="18">
        <v>2026.0</v>
      </c>
      <c r="B172" s="12">
        <v>46058.0</v>
      </c>
      <c r="C172" s="12"/>
      <c r="D172" s="11" t="s">
        <v>101</v>
      </c>
      <c r="E172" s="13">
        <v>22.74</v>
      </c>
      <c r="F172" s="14" t="s">
        <v>29</v>
      </c>
    </row>
    <row r="173" ht="22.5" hidden="1" customHeight="1">
      <c r="A173" s="18">
        <v>2026.0</v>
      </c>
      <c r="B173" s="12">
        <v>46062.0</v>
      </c>
      <c r="C173" s="12"/>
      <c r="D173" s="11" t="s">
        <v>98</v>
      </c>
      <c r="E173" s="13">
        <v>27.06</v>
      </c>
      <c r="F173" s="14" t="s">
        <v>21</v>
      </c>
    </row>
    <row r="174" ht="22.5" hidden="1" customHeight="1">
      <c r="A174" s="18">
        <v>2026.0</v>
      </c>
      <c r="B174" s="12">
        <v>46065.0</v>
      </c>
      <c r="C174" s="12"/>
      <c r="D174" s="11" t="s">
        <v>29</v>
      </c>
      <c r="E174" s="13">
        <v>6.82</v>
      </c>
      <c r="F174" s="14" t="s">
        <v>29</v>
      </c>
    </row>
    <row r="175" ht="22.5" hidden="1" customHeight="1">
      <c r="A175" s="18">
        <v>2026.0</v>
      </c>
      <c r="B175" s="12">
        <v>46066.0</v>
      </c>
      <c r="C175" s="12"/>
      <c r="D175" s="11" t="s">
        <v>133</v>
      </c>
      <c r="E175" s="13">
        <v>1.3</v>
      </c>
      <c r="F175" s="14" t="s">
        <v>29</v>
      </c>
    </row>
    <row r="176" ht="22.5" hidden="1" customHeight="1">
      <c r="A176" s="18">
        <v>2026.0</v>
      </c>
      <c r="B176" s="12">
        <v>46071.0</v>
      </c>
      <c r="C176" s="12"/>
      <c r="D176" s="11" t="s">
        <v>134</v>
      </c>
      <c r="E176" s="13">
        <v>50.0</v>
      </c>
      <c r="F176" s="14" t="s">
        <v>81</v>
      </c>
    </row>
    <row r="177" ht="22.5" hidden="1" customHeight="1">
      <c r="A177" s="18">
        <v>2026.0</v>
      </c>
      <c r="B177" s="12">
        <v>46072.0</v>
      </c>
      <c r="C177" s="12"/>
      <c r="D177" s="11" t="s">
        <v>20</v>
      </c>
      <c r="E177" s="13">
        <v>40.0</v>
      </c>
      <c r="F177" s="14" t="s">
        <v>21</v>
      </c>
    </row>
    <row r="178" ht="22.5" hidden="1" customHeight="1">
      <c r="A178" s="18">
        <v>2026.0</v>
      </c>
      <c r="B178" s="12">
        <v>46074.0</v>
      </c>
      <c r="C178" s="12"/>
      <c r="D178" s="11" t="s">
        <v>45</v>
      </c>
      <c r="E178" s="13">
        <v>6.99</v>
      </c>
      <c r="F178" s="14" t="s">
        <v>27</v>
      </c>
    </row>
    <row r="179" ht="22.5" hidden="1" customHeight="1">
      <c r="A179" s="18">
        <v>2026.0</v>
      </c>
      <c r="B179" s="12">
        <v>46079.0</v>
      </c>
      <c r="C179" s="12"/>
      <c r="D179" s="11" t="s">
        <v>135</v>
      </c>
      <c r="E179" s="13">
        <v>40.58</v>
      </c>
      <c r="F179" s="14" t="s">
        <v>21</v>
      </c>
    </row>
    <row r="180" ht="22.5" hidden="1" customHeight="1">
      <c r="A180" s="18">
        <v>2026.0</v>
      </c>
      <c r="B180" s="12">
        <v>46081.0</v>
      </c>
      <c r="C180" s="12"/>
      <c r="D180" s="11" t="s">
        <v>132</v>
      </c>
      <c r="E180" s="13">
        <v>1.55</v>
      </c>
      <c r="F180" s="14" t="s">
        <v>29</v>
      </c>
    </row>
    <row r="181" ht="22.5" hidden="1" customHeight="1">
      <c r="A181" s="18">
        <v>2026.0</v>
      </c>
      <c r="B181" s="12">
        <v>46083.0</v>
      </c>
      <c r="C181" s="12"/>
      <c r="D181" s="11" t="s">
        <v>32</v>
      </c>
      <c r="E181" s="13">
        <v>50.0</v>
      </c>
      <c r="F181" s="14" t="s">
        <v>21</v>
      </c>
    </row>
    <row r="182" ht="22.5" hidden="1" customHeight="1">
      <c r="A182" s="18">
        <v>2026.0</v>
      </c>
      <c r="B182" s="12">
        <v>46084.0</v>
      </c>
      <c r="C182" s="12"/>
      <c r="D182" s="11" t="s">
        <v>136</v>
      </c>
      <c r="E182" s="13">
        <v>5.6</v>
      </c>
      <c r="F182" s="14" t="s">
        <v>29</v>
      </c>
    </row>
    <row r="183" ht="22.5" hidden="1" customHeight="1">
      <c r="A183" s="18">
        <v>2026.0</v>
      </c>
      <c r="B183" s="12">
        <v>46090.0</v>
      </c>
      <c r="C183" s="12"/>
      <c r="D183" s="11" t="s">
        <v>137</v>
      </c>
      <c r="E183" s="13">
        <v>12.55</v>
      </c>
      <c r="F183" s="14" t="s">
        <v>29</v>
      </c>
    </row>
    <row r="184" ht="22.5" hidden="1" customHeight="1">
      <c r="A184" s="18">
        <v>2026.0</v>
      </c>
      <c r="B184" s="12">
        <v>46090.0</v>
      </c>
      <c r="C184" s="12"/>
      <c r="D184" s="11" t="s">
        <v>101</v>
      </c>
      <c r="E184" s="13">
        <v>5.18</v>
      </c>
      <c r="F184" s="14" t="s">
        <v>29</v>
      </c>
    </row>
    <row r="185" ht="22.5" hidden="1" customHeight="1">
      <c r="A185" s="18">
        <v>2026.0</v>
      </c>
      <c r="B185" s="12">
        <v>46092.0</v>
      </c>
      <c r="C185" s="12"/>
      <c r="D185" s="11" t="s">
        <v>94</v>
      </c>
      <c r="E185" s="13">
        <v>30.0</v>
      </c>
      <c r="F185" s="14" t="s">
        <v>21</v>
      </c>
    </row>
    <row r="186" ht="22.5" hidden="1" customHeight="1">
      <c r="A186" s="18">
        <v>2026.0</v>
      </c>
      <c r="B186" s="12">
        <v>46096.0</v>
      </c>
      <c r="C186" s="12"/>
      <c r="D186" s="11" t="s">
        <v>138</v>
      </c>
      <c r="E186" s="13">
        <v>4.6</v>
      </c>
      <c r="F186" s="14" t="s">
        <v>27</v>
      </c>
    </row>
    <row r="187" ht="22.5" hidden="1" customHeight="1">
      <c r="A187" s="18">
        <v>2026.0</v>
      </c>
      <c r="B187" s="12">
        <v>46097.0</v>
      </c>
      <c r="C187" s="12"/>
      <c r="D187" s="11" t="s">
        <v>94</v>
      </c>
      <c r="E187" s="13">
        <v>30.0</v>
      </c>
      <c r="F187" s="14" t="s">
        <v>21</v>
      </c>
    </row>
    <row r="188" ht="22.5" hidden="1" customHeight="1">
      <c r="A188" s="18">
        <v>2026.0</v>
      </c>
      <c r="B188" s="12">
        <v>46100.0</v>
      </c>
      <c r="C188" s="12"/>
      <c r="D188" s="11" t="s">
        <v>139</v>
      </c>
      <c r="E188" s="13">
        <v>25.04</v>
      </c>
      <c r="F188" s="14" t="s">
        <v>29</v>
      </c>
    </row>
    <row r="189" ht="22.5" hidden="1" customHeight="1">
      <c r="A189" s="18">
        <v>2026.0</v>
      </c>
      <c r="B189" s="12">
        <v>46101.0</v>
      </c>
      <c r="C189" s="12"/>
      <c r="D189" s="11" t="s">
        <v>130</v>
      </c>
      <c r="E189" s="13">
        <v>0.8</v>
      </c>
      <c r="F189" s="14" t="s">
        <v>29</v>
      </c>
    </row>
    <row r="190" ht="22.5" hidden="1" customHeight="1">
      <c r="A190" s="18">
        <v>2026.0</v>
      </c>
      <c r="B190" s="12">
        <v>46101.0</v>
      </c>
      <c r="C190" s="12"/>
      <c r="D190" s="11" t="s">
        <v>58</v>
      </c>
      <c r="E190" s="13">
        <v>6.99</v>
      </c>
      <c r="F190" s="14" t="s">
        <v>27</v>
      </c>
    </row>
    <row r="191" ht="22.5" hidden="1" customHeight="1">
      <c r="A191" s="18">
        <v>2026.0</v>
      </c>
      <c r="B191" s="12">
        <v>46103.0</v>
      </c>
      <c r="C191" s="12"/>
      <c r="D191" s="11" t="s">
        <v>94</v>
      </c>
      <c r="E191" s="13">
        <v>39.1</v>
      </c>
      <c r="F191" s="14" t="s">
        <v>21</v>
      </c>
    </row>
    <row r="192" ht="22.5" hidden="1" customHeight="1">
      <c r="A192" s="18">
        <v>2026.0</v>
      </c>
      <c r="B192" s="12">
        <v>46106.0</v>
      </c>
      <c r="C192" s="12"/>
      <c r="D192" s="11" t="s">
        <v>140</v>
      </c>
      <c r="E192" s="13">
        <v>23.5</v>
      </c>
      <c r="F192" s="14" t="s">
        <v>21</v>
      </c>
    </row>
    <row r="193" ht="22.5" hidden="1" customHeight="1">
      <c r="A193" s="18">
        <v>2026.0</v>
      </c>
      <c r="B193" s="12">
        <v>46106.0</v>
      </c>
      <c r="C193" s="12"/>
      <c r="D193" s="11" t="s">
        <v>141</v>
      </c>
      <c r="E193" s="13">
        <v>29.98</v>
      </c>
      <c r="F193" s="14" t="s">
        <v>27</v>
      </c>
    </row>
    <row r="194" ht="22.5" hidden="1" customHeight="1">
      <c r="A194" s="18">
        <v>2026.0</v>
      </c>
      <c r="B194" s="12">
        <v>46110.0</v>
      </c>
      <c r="C194" s="12"/>
      <c r="D194" s="11" t="s">
        <v>94</v>
      </c>
      <c r="E194" s="13">
        <v>30.0</v>
      </c>
      <c r="F194" s="14" t="s">
        <v>21</v>
      </c>
    </row>
    <row r="195" ht="22.5" hidden="1" customHeight="1">
      <c r="A195" s="18">
        <v>2026.0</v>
      </c>
      <c r="B195" s="12">
        <v>46111.0</v>
      </c>
      <c r="C195" s="12"/>
      <c r="D195" s="11" t="s">
        <v>101</v>
      </c>
      <c r="E195" s="13">
        <v>1.55</v>
      </c>
      <c r="F195" s="14" t="s">
        <v>29</v>
      </c>
    </row>
    <row r="196" ht="22.5" hidden="1" customHeight="1">
      <c r="A196" s="18">
        <v>2026.0</v>
      </c>
      <c r="B196" s="12">
        <v>46113.0</v>
      </c>
      <c r="C196" s="12"/>
      <c r="D196" s="11" t="s">
        <v>94</v>
      </c>
      <c r="E196" s="13">
        <v>80.8</v>
      </c>
      <c r="F196" s="14" t="s">
        <v>21</v>
      </c>
    </row>
    <row r="197" ht="22.5" hidden="1" customHeight="1">
      <c r="A197" s="18">
        <v>2026.0</v>
      </c>
      <c r="B197" s="12">
        <v>46115.0</v>
      </c>
      <c r="C197" s="12"/>
      <c r="D197" s="11" t="s">
        <v>142</v>
      </c>
      <c r="E197" s="13">
        <v>35.0</v>
      </c>
      <c r="F197" s="14" t="s">
        <v>23</v>
      </c>
    </row>
    <row r="198" ht="22.5" hidden="1" customHeight="1">
      <c r="A198" s="18">
        <v>2026.0</v>
      </c>
      <c r="B198" s="12">
        <v>46116.0</v>
      </c>
      <c r="C198" s="12"/>
      <c r="D198" s="11" t="s">
        <v>137</v>
      </c>
      <c r="E198" s="13">
        <v>26.0</v>
      </c>
      <c r="F198" s="14" t="s">
        <v>29</v>
      </c>
    </row>
    <row r="199" ht="22.5" hidden="1" customHeight="1">
      <c r="A199" s="18">
        <v>2026.0</v>
      </c>
      <c r="B199" s="12">
        <v>46118.0</v>
      </c>
      <c r="C199" s="12"/>
      <c r="D199" s="11" t="s">
        <v>143</v>
      </c>
      <c r="E199" s="13">
        <v>0.8</v>
      </c>
      <c r="F199" s="14" t="s">
        <v>29</v>
      </c>
    </row>
    <row r="200" ht="22.5" hidden="1" customHeight="1">
      <c r="A200" s="18">
        <v>2026.0</v>
      </c>
      <c r="B200" s="12">
        <v>46122.0</v>
      </c>
      <c r="C200" s="12"/>
      <c r="D200" s="11" t="s">
        <v>136</v>
      </c>
      <c r="E200" s="13">
        <v>10.9</v>
      </c>
      <c r="F200" s="14" t="s">
        <v>29</v>
      </c>
    </row>
    <row r="201" ht="22.5" hidden="1" customHeight="1">
      <c r="A201" s="18">
        <v>2026.0</v>
      </c>
      <c r="B201" s="12">
        <v>46122.0</v>
      </c>
      <c r="C201" s="12"/>
      <c r="D201" s="11" t="s">
        <v>136</v>
      </c>
      <c r="E201" s="13">
        <v>15.2</v>
      </c>
      <c r="F201" s="14" t="s">
        <v>29</v>
      </c>
    </row>
    <row r="202" ht="22.5" hidden="1" customHeight="1">
      <c r="A202" s="18">
        <v>2026.0</v>
      </c>
      <c r="B202" s="12">
        <v>46124.0</v>
      </c>
      <c r="C202" s="12"/>
      <c r="D202" s="11" t="s">
        <v>144</v>
      </c>
      <c r="E202" s="13">
        <v>122.94</v>
      </c>
      <c r="F202" s="14" t="s">
        <v>31</v>
      </c>
    </row>
    <row r="203" ht="22.5" hidden="1" customHeight="1">
      <c r="A203" s="18">
        <v>2026.0</v>
      </c>
      <c r="B203" s="12">
        <v>46125.0</v>
      </c>
      <c r="C203" s="12"/>
      <c r="D203" s="11" t="s">
        <v>20</v>
      </c>
      <c r="E203" s="13">
        <v>40.0</v>
      </c>
      <c r="F203" s="14" t="s">
        <v>21</v>
      </c>
    </row>
    <row r="204" ht="22.5" hidden="1" customHeight="1">
      <c r="A204" s="18">
        <v>2026.0</v>
      </c>
      <c r="B204" s="12">
        <v>46125.0</v>
      </c>
      <c r="C204" s="12"/>
      <c r="D204" s="11" t="s">
        <v>29</v>
      </c>
      <c r="E204" s="13">
        <v>8.06</v>
      </c>
      <c r="F204" s="14" t="s">
        <v>29</v>
      </c>
    </row>
    <row r="205" ht="22.5" hidden="1" customHeight="1">
      <c r="A205" s="18">
        <v>2026.0</v>
      </c>
      <c r="B205" s="12">
        <v>46128.0</v>
      </c>
      <c r="C205" s="12"/>
      <c r="D205" s="11" t="s">
        <v>145</v>
      </c>
      <c r="E205" s="13">
        <v>5.0</v>
      </c>
      <c r="F205" s="14" t="s">
        <v>88</v>
      </c>
    </row>
    <row r="206" ht="22.5" hidden="1" customHeight="1">
      <c r="A206" s="18">
        <v>2026.0</v>
      </c>
      <c r="B206" s="12">
        <v>46128.0</v>
      </c>
      <c r="C206" s="12"/>
      <c r="D206" s="11" t="s">
        <v>136</v>
      </c>
      <c r="E206" s="13">
        <v>3.4</v>
      </c>
      <c r="F206" s="14" t="s">
        <v>29</v>
      </c>
    </row>
    <row r="207" ht="22.5" hidden="1" customHeight="1">
      <c r="A207" s="18">
        <v>2026.0</v>
      </c>
      <c r="B207" s="12">
        <v>46128.0</v>
      </c>
      <c r="C207" s="12"/>
      <c r="D207" s="11" t="s">
        <v>146</v>
      </c>
      <c r="E207" s="13">
        <v>5.99</v>
      </c>
      <c r="F207" s="14" t="s">
        <v>88</v>
      </c>
    </row>
    <row r="208" ht="22.5" hidden="1" customHeight="1">
      <c r="A208" s="18">
        <v>2026.0</v>
      </c>
      <c r="B208" s="12">
        <v>46129.0</v>
      </c>
      <c r="C208" s="12"/>
      <c r="D208" s="11" t="s">
        <v>94</v>
      </c>
      <c r="E208" s="13">
        <v>40.0</v>
      </c>
      <c r="F208" s="14" t="s">
        <v>21</v>
      </c>
    </row>
    <row r="209" ht="22.5" hidden="1" customHeight="1">
      <c r="A209" s="18">
        <v>2026.0</v>
      </c>
      <c r="B209" s="12">
        <v>46132.0</v>
      </c>
      <c r="C209" s="12"/>
      <c r="D209" s="11" t="s">
        <v>147</v>
      </c>
      <c r="E209" s="13">
        <v>49.9</v>
      </c>
      <c r="F209" s="14" t="s">
        <v>27</v>
      </c>
    </row>
    <row r="210" ht="22.5" hidden="1" customHeight="1">
      <c r="A210" s="18">
        <v>2026.0</v>
      </c>
      <c r="B210" s="12">
        <v>46133.0</v>
      </c>
      <c r="C210" s="12"/>
      <c r="D210" s="11" t="s">
        <v>58</v>
      </c>
      <c r="E210" s="13">
        <v>6.99</v>
      </c>
      <c r="F210" s="14" t="s">
        <v>27</v>
      </c>
    </row>
    <row r="211" ht="22.5" hidden="1" customHeight="1">
      <c r="A211" s="18">
        <v>2026.0</v>
      </c>
      <c r="B211" s="12">
        <v>46142.0</v>
      </c>
      <c r="C211" s="12"/>
      <c r="D211" s="11" t="s">
        <v>20</v>
      </c>
      <c r="E211" s="13">
        <v>40.0</v>
      </c>
      <c r="F211" s="14" t="s">
        <v>21</v>
      </c>
    </row>
    <row r="212" ht="22.5" hidden="1" customHeight="1">
      <c r="A212" s="18">
        <v>2026.0</v>
      </c>
      <c r="B212" s="12">
        <v>46146.0</v>
      </c>
      <c r="C212" s="12"/>
      <c r="D212" s="11" t="s">
        <v>101</v>
      </c>
      <c r="E212" s="13">
        <v>18.5</v>
      </c>
      <c r="F212" s="14" t="s">
        <v>29</v>
      </c>
    </row>
    <row r="213" ht="22.5" hidden="1" customHeight="1">
      <c r="A213" s="18">
        <v>2026.0</v>
      </c>
      <c r="B213" s="12">
        <v>46149.0</v>
      </c>
      <c r="C213" s="12"/>
      <c r="D213" s="11" t="s">
        <v>98</v>
      </c>
      <c r="E213" s="13">
        <v>40.0</v>
      </c>
      <c r="F213" s="14" t="s">
        <v>21</v>
      </c>
    </row>
    <row r="214" ht="22.5" hidden="1" customHeight="1">
      <c r="A214" s="18">
        <v>2026.0</v>
      </c>
      <c r="B214" s="12">
        <v>46149.0</v>
      </c>
      <c r="C214" s="12"/>
      <c r="D214" s="11" t="s">
        <v>148</v>
      </c>
      <c r="E214" s="13">
        <v>35.0</v>
      </c>
      <c r="F214" s="14" t="s">
        <v>23</v>
      </c>
    </row>
    <row r="215" ht="22.5" hidden="1" customHeight="1">
      <c r="A215" s="18">
        <v>2026.0</v>
      </c>
      <c r="B215" s="12">
        <v>46156.0</v>
      </c>
      <c r="C215" s="12"/>
      <c r="D215" s="11" t="s">
        <v>101</v>
      </c>
      <c r="E215" s="13">
        <v>26.55</v>
      </c>
      <c r="F215" s="14" t="s">
        <v>29</v>
      </c>
    </row>
    <row r="216" ht="22.5" hidden="1" customHeight="1">
      <c r="A216" s="18">
        <v>2026.0</v>
      </c>
      <c r="B216" s="12">
        <v>46157.0</v>
      </c>
      <c r="C216" s="12"/>
      <c r="D216" s="11" t="s">
        <v>101</v>
      </c>
      <c r="E216" s="13">
        <v>13.0</v>
      </c>
      <c r="F216" s="14" t="s">
        <v>29</v>
      </c>
    </row>
    <row r="217" ht="22.5" hidden="1" customHeight="1">
      <c r="A217" s="18">
        <v>2026.0</v>
      </c>
      <c r="B217" s="12">
        <v>46157.0</v>
      </c>
      <c r="C217" s="12"/>
      <c r="D217" s="11" t="s">
        <v>98</v>
      </c>
      <c r="E217" s="13">
        <v>50.0</v>
      </c>
      <c r="F217" s="14" t="s">
        <v>21</v>
      </c>
    </row>
    <row r="218" ht="22.5" hidden="1" customHeight="1">
      <c r="A218" s="18">
        <v>2026.0</v>
      </c>
      <c r="B218" s="12">
        <v>46159.0</v>
      </c>
      <c r="C218" s="12"/>
      <c r="D218" s="11" t="s">
        <v>149</v>
      </c>
      <c r="E218" s="13">
        <v>6.25</v>
      </c>
      <c r="F218" s="14" t="s">
        <v>27</v>
      </c>
    </row>
    <row r="219" ht="22.5" hidden="1" customHeight="1">
      <c r="A219" s="18">
        <v>2026.0</v>
      </c>
      <c r="B219" s="12">
        <v>46162.0</v>
      </c>
      <c r="C219" s="12"/>
      <c r="D219" s="11" t="s">
        <v>150</v>
      </c>
      <c r="E219" s="13">
        <v>25.8</v>
      </c>
      <c r="F219" s="14" t="s">
        <v>43</v>
      </c>
    </row>
    <row r="220" ht="22.5" hidden="1" customHeight="1">
      <c r="A220" s="18">
        <v>2026.0</v>
      </c>
      <c r="B220" s="12">
        <v>46163.0</v>
      </c>
      <c r="C220" s="12"/>
      <c r="D220" s="11" t="s">
        <v>58</v>
      </c>
      <c r="E220" s="13">
        <v>8.99</v>
      </c>
      <c r="F220" s="14" t="s">
        <v>27</v>
      </c>
    </row>
    <row r="221" ht="22.5" hidden="1" customHeight="1">
      <c r="A221" s="18">
        <v>2026.0</v>
      </c>
      <c r="B221" s="12">
        <v>46164.0</v>
      </c>
      <c r="C221" s="12"/>
      <c r="D221" s="11" t="s">
        <v>94</v>
      </c>
      <c r="E221" s="13">
        <v>50.0</v>
      </c>
      <c r="F221" s="14" t="s">
        <v>21</v>
      </c>
    </row>
    <row r="222" ht="22.5" hidden="1" customHeight="1">
      <c r="A222" s="18">
        <v>2026.0</v>
      </c>
      <c r="B222" s="12">
        <v>46166.0</v>
      </c>
      <c r="C222" s="12"/>
      <c r="D222" s="11" t="s">
        <v>137</v>
      </c>
      <c r="E222" s="13">
        <v>20.5</v>
      </c>
      <c r="F222" s="14" t="s">
        <v>27</v>
      </c>
    </row>
    <row r="223" ht="22.5" hidden="1" customHeight="1">
      <c r="A223" s="18">
        <v>2026.0</v>
      </c>
      <c r="B223" s="12">
        <v>46168.0</v>
      </c>
      <c r="C223" s="12"/>
      <c r="D223" s="11" t="s">
        <v>151</v>
      </c>
      <c r="E223" s="13">
        <v>13.19</v>
      </c>
      <c r="F223" s="14" t="s">
        <v>27</v>
      </c>
    </row>
    <row r="224" ht="22.5" hidden="1" customHeight="1">
      <c r="A224" s="18">
        <v>2026.0</v>
      </c>
      <c r="B224" s="12">
        <v>46169.0</v>
      </c>
      <c r="C224" s="12"/>
      <c r="D224" s="11" t="s">
        <v>152</v>
      </c>
      <c r="E224" s="13">
        <v>5.6</v>
      </c>
      <c r="F224" s="14" t="s">
        <v>29</v>
      </c>
    </row>
    <row r="225" ht="22.5" hidden="1" customHeight="1">
      <c r="A225" s="18">
        <v>2026.0</v>
      </c>
      <c r="B225" s="12">
        <v>46170.0</v>
      </c>
      <c r="C225" s="12"/>
      <c r="D225" s="11" t="s">
        <v>101</v>
      </c>
      <c r="E225" s="13">
        <v>5.4</v>
      </c>
      <c r="F225" s="14" t="s">
        <v>29</v>
      </c>
    </row>
    <row r="226" ht="22.5" hidden="1" customHeight="1">
      <c r="A226" s="18">
        <v>2026.0</v>
      </c>
      <c r="B226" s="12">
        <v>46172.0</v>
      </c>
      <c r="C226" s="12"/>
      <c r="D226" s="11" t="s">
        <v>94</v>
      </c>
      <c r="E226" s="13">
        <v>50.0</v>
      </c>
      <c r="F226" s="14" t="s">
        <v>21</v>
      </c>
    </row>
    <row r="227" ht="22.5" customHeight="1">
      <c r="A227" s="18">
        <v>2026.0</v>
      </c>
      <c r="B227" s="12">
        <v>46172.0</v>
      </c>
      <c r="C227" s="12"/>
      <c r="D227" s="11" t="s">
        <v>101</v>
      </c>
      <c r="E227" s="13">
        <v>12.0</v>
      </c>
      <c r="F227" s="14" t="s">
        <v>29</v>
      </c>
    </row>
    <row r="228" ht="22.5" customHeight="1">
      <c r="A228" s="18">
        <v>2026.0</v>
      </c>
      <c r="B228" s="12">
        <v>46183.0</v>
      </c>
      <c r="C228" s="12"/>
      <c r="D228" s="11" t="s">
        <v>101</v>
      </c>
      <c r="E228" s="13">
        <v>10.3</v>
      </c>
      <c r="F228" s="14" t="s">
        <v>29</v>
      </c>
      <c r="G228" s="22">
        <v>46197.0</v>
      </c>
      <c r="H228" s="23" t="s">
        <v>153</v>
      </c>
    </row>
    <row r="229" ht="22.5" customHeight="1">
      <c r="A229" s="18">
        <v>2026.0</v>
      </c>
      <c r="B229" s="12">
        <v>46183.0</v>
      </c>
      <c r="C229" s="12"/>
      <c r="D229" s="11" t="s">
        <v>94</v>
      </c>
      <c r="E229" s="13">
        <v>40.0</v>
      </c>
      <c r="F229" s="14" t="s">
        <v>21</v>
      </c>
    </row>
    <row r="230" ht="22.5" customHeight="1">
      <c r="A230" s="18">
        <v>2026.0</v>
      </c>
      <c r="B230" s="12">
        <v>46185.0</v>
      </c>
      <c r="C230" s="12"/>
      <c r="D230" s="11" t="s">
        <v>154</v>
      </c>
      <c r="E230" s="13">
        <v>6.0</v>
      </c>
      <c r="F230" s="14" t="s">
        <v>29</v>
      </c>
    </row>
    <row r="231" ht="22.5" customHeight="1">
      <c r="A231" s="18">
        <v>2026.0</v>
      </c>
      <c r="B231" s="12"/>
      <c r="C231" s="12"/>
      <c r="D231" s="11" t="s">
        <v>155</v>
      </c>
      <c r="E231" s="13">
        <v>15.19</v>
      </c>
      <c r="F231" s="14" t="s">
        <v>27</v>
      </c>
    </row>
    <row r="232" ht="22.5" customHeight="1">
      <c r="A232" s="18">
        <v>2026.0</v>
      </c>
      <c r="B232" s="12"/>
      <c r="C232" s="12"/>
      <c r="D232" s="11" t="s">
        <v>156</v>
      </c>
      <c r="E232" s="13">
        <v>40.0</v>
      </c>
      <c r="F232" s="14" t="s">
        <v>21</v>
      </c>
    </row>
    <row r="233" ht="22.5" customHeight="1">
      <c r="A233" s="18">
        <v>2026.0</v>
      </c>
      <c r="B233" s="12">
        <v>46192.0</v>
      </c>
      <c r="C233" s="12"/>
      <c r="D233" s="11" t="s">
        <v>137</v>
      </c>
      <c r="E233" s="13">
        <v>115.0</v>
      </c>
      <c r="F233" s="14" t="s">
        <v>27</v>
      </c>
    </row>
    <row r="234" ht="22.5" customHeight="1">
      <c r="A234" s="18">
        <v>2026.0</v>
      </c>
      <c r="B234" s="12"/>
      <c r="C234" s="12"/>
      <c r="D234" s="11"/>
      <c r="E234" s="13">
        <v>26.0</v>
      </c>
      <c r="F234" s="14" t="s">
        <v>88</v>
      </c>
    </row>
    <row r="235" ht="22.5" customHeight="1">
      <c r="A235" s="18">
        <v>2026.0</v>
      </c>
      <c r="B235" s="12">
        <v>46193.0</v>
      </c>
      <c r="C235" s="12"/>
      <c r="D235" s="11" t="s">
        <v>94</v>
      </c>
      <c r="E235" s="13">
        <v>40.0</v>
      </c>
      <c r="F235" s="14" t="s">
        <v>21</v>
      </c>
    </row>
    <row r="236" ht="22.5" customHeight="1">
      <c r="A236" s="18">
        <v>2026.0</v>
      </c>
      <c r="B236" s="12">
        <v>46193.0</v>
      </c>
      <c r="C236" s="12"/>
      <c r="D236" s="11" t="s">
        <v>157</v>
      </c>
      <c r="E236" s="13">
        <v>6.5</v>
      </c>
      <c r="F236" s="14" t="s">
        <v>27</v>
      </c>
    </row>
    <row r="237" ht="22.5" customHeight="1">
      <c r="A237" s="18">
        <v>2026.0</v>
      </c>
      <c r="B237" s="12">
        <v>46193.0</v>
      </c>
      <c r="C237" s="12"/>
      <c r="D237" s="11" t="s">
        <v>158</v>
      </c>
      <c r="E237" s="13">
        <v>9.1</v>
      </c>
      <c r="F237" s="14" t="s">
        <v>27</v>
      </c>
    </row>
    <row r="238" ht="22.5" customHeight="1">
      <c r="A238" s="18">
        <v>2026.0</v>
      </c>
      <c r="B238" s="12">
        <v>46193.0</v>
      </c>
      <c r="C238" s="12"/>
      <c r="D238" s="11" t="s">
        <v>158</v>
      </c>
      <c r="E238" s="13">
        <v>26.0</v>
      </c>
      <c r="F238" s="14" t="s">
        <v>27</v>
      </c>
    </row>
    <row r="239" ht="22.5" customHeight="1">
      <c r="A239" s="18">
        <v>2026.0</v>
      </c>
      <c r="B239" s="12">
        <v>46193.0</v>
      </c>
      <c r="C239" s="12"/>
      <c r="D239" s="11" t="s">
        <v>158</v>
      </c>
      <c r="E239" s="13">
        <v>28.42</v>
      </c>
      <c r="F239" s="14" t="s">
        <v>27</v>
      </c>
    </row>
    <row r="240" ht="22.5" customHeight="1">
      <c r="A240" s="18">
        <v>2026.0</v>
      </c>
      <c r="B240" s="12">
        <v>46193.0</v>
      </c>
      <c r="C240" s="12"/>
      <c r="D240" s="11" t="s">
        <v>158</v>
      </c>
      <c r="E240" s="13">
        <v>48.74</v>
      </c>
      <c r="F240" s="14" t="s">
        <v>27</v>
      </c>
    </row>
    <row r="241" ht="22.5" customHeight="1">
      <c r="A241" s="18">
        <v>2026.0</v>
      </c>
      <c r="B241" s="12">
        <v>46194.0</v>
      </c>
      <c r="C241" s="12"/>
      <c r="D241" s="11" t="s">
        <v>58</v>
      </c>
      <c r="E241" s="13">
        <v>9.0</v>
      </c>
      <c r="F241" s="14" t="s">
        <v>27</v>
      </c>
    </row>
    <row r="242" ht="22.5" customHeight="1">
      <c r="A242" s="18">
        <v>2026.0</v>
      </c>
      <c r="B242" s="12">
        <v>46195.0</v>
      </c>
      <c r="C242" s="12"/>
      <c r="D242" s="11" t="s">
        <v>159</v>
      </c>
      <c r="E242" s="13">
        <v>35.0</v>
      </c>
      <c r="F242" s="14" t="s">
        <v>27</v>
      </c>
    </row>
    <row r="243" ht="22.5" customHeight="1">
      <c r="A243" s="18">
        <v>2026.0</v>
      </c>
      <c r="B243" s="12">
        <v>46195.0</v>
      </c>
      <c r="C243" s="12"/>
      <c r="D243" s="11" t="s">
        <v>160</v>
      </c>
      <c r="E243" s="13">
        <v>25.0</v>
      </c>
      <c r="F243" s="14" t="s">
        <v>27</v>
      </c>
    </row>
    <row r="244" ht="22.5" customHeight="1">
      <c r="A244" s="18">
        <v>2026.0</v>
      </c>
      <c r="B244" s="12"/>
      <c r="C244" s="12"/>
      <c r="D244" s="11" t="s">
        <v>78</v>
      </c>
      <c r="E244" s="13">
        <v>90.67</v>
      </c>
      <c r="F244" s="14" t="s">
        <v>43</v>
      </c>
    </row>
    <row r="245" ht="22.5" customHeight="1">
      <c r="A245" s="18">
        <v>2026.0</v>
      </c>
      <c r="B245" s="12">
        <v>46202.0</v>
      </c>
      <c r="C245" s="12"/>
      <c r="D245" s="11" t="s">
        <v>94</v>
      </c>
      <c r="E245" s="13">
        <v>30.0</v>
      </c>
      <c r="F245" s="14" t="s">
        <v>21</v>
      </c>
    </row>
    <row r="246" ht="22.5" customHeight="1">
      <c r="A246" s="18">
        <v>2026.0</v>
      </c>
      <c r="B246" s="12">
        <v>46202.0</v>
      </c>
      <c r="C246" s="12"/>
      <c r="D246" s="11" t="s">
        <v>161</v>
      </c>
      <c r="E246" s="13">
        <v>45.95</v>
      </c>
      <c r="F246" s="14" t="s">
        <v>27</v>
      </c>
    </row>
    <row r="247" ht="22.5" customHeight="1">
      <c r="A247" s="18">
        <v>2026.0</v>
      </c>
      <c r="B247" s="12">
        <v>46202.0</v>
      </c>
      <c r="C247" s="12"/>
      <c r="D247" s="11" t="s">
        <v>161</v>
      </c>
      <c r="E247" s="13">
        <v>36.96</v>
      </c>
      <c r="F247" s="14" t="s">
        <v>27</v>
      </c>
    </row>
    <row r="248" ht="22.5" customHeight="1">
      <c r="A248" s="18">
        <v>2026.0</v>
      </c>
      <c r="B248" s="12">
        <v>46208.0</v>
      </c>
      <c r="C248" s="12"/>
      <c r="D248" s="11" t="s">
        <v>162</v>
      </c>
      <c r="E248" s="13">
        <v>32.09</v>
      </c>
      <c r="F248" s="14" t="s">
        <v>27</v>
      </c>
    </row>
    <row r="249" ht="22.5" customHeight="1">
      <c r="A249" s="18">
        <v>2026.0</v>
      </c>
      <c r="B249" s="12">
        <v>46204.0</v>
      </c>
      <c r="C249" s="12"/>
      <c r="D249" s="11" t="s">
        <v>80</v>
      </c>
      <c r="E249" s="13">
        <v>464.24</v>
      </c>
      <c r="F249" s="14" t="s">
        <v>81</v>
      </c>
    </row>
    <row r="250" ht="22.5" customHeight="1">
      <c r="A250" s="18">
        <v>2026.0</v>
      </c>
      <c r="B250" s="12">
        <v>46210.0</v>
      </c>
      <c r="C250" s="12"/>
      <c r="D250" s="11" t="s">
        <v>29</v>
      </c>
      <c r="E250" s="13">
        <v>9.1</v>
      </c>
      <c r="F250" s="14" t="s">
        <v>29</v>
      </c>
    </row>
  </sheetData>
  <dataValidations>
    <dataValidation type="list" allowBlank="1" sqref="F2:F250">
      <formula1>"Coche,Ejercicio,Discord,Ocio,Aseo,Medicamento,Comida,Trabajo,hacienda,Otros"</formula1>
    </dataValidation>
    <dataValidation type="custom" allowBlank="1" showDropDown="1" sqref="B2:B250">
      <formula1>OR(NOT(ISERROR(DATEVALUE(B2))), AND(ISNUMBER(B2), LEFT(CELL("format", B2))="D"))</formula1>
    </dataValidation>
    <dataValidation type="custom" allowBlank="1" showDropDown="1" sqref="E2:E25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