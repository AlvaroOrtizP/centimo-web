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RIMONIO TOTAL 2026" sheetId="1" r:id="rId5"/>
    <sheet state="visible" name="PATRIMONIO TOTAL 2025" sheetId="2" r:id="rId6"/>
  </sheets>
  <definedNames/>
  <calcPr/>
</workbook>
</file>

<file path=xl/sharedStrings.xml><?xml version="1.0" encoding="utf-8"?>
<sst xmlns="http://schemas.openxmlformats.org/spreadsheetml/2006/main" count="57" uniqueCount="32">
  <si>
    <t>CATEGORIA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</si>
  <si>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</si>
  <si>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</si>
  <si>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</si>
  <si>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</si>
  <si>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</si>
  <si>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</si>
  <si>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</si>
  <si>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</si>
  <si>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</si>
  <si>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</si>
  <si>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</si>
  <si>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</si>
  <si>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Objetivo</t>
  </si>
  <si>
    <t>GASTOS</t>
  </si>
  <si>
    <t>FONDOS INDEXADOS</t>
  </si>
  <si>
    <t>DINERO ETORO</t>
  </si>
  <si>
    <t>CROWDFUNDING INMOBILIARIO</t>
  </si>
  <si>
    <t>CRYPTO (Bitvavo)</t>
  </si>
  <si>
    <t>REMUNERADA REVOLUT</t>
  </si>
  <si>
    <t>REMUNERADA SAVE</t>
  </si>
  <si>
    <t>REMUNERADA HEAL</t>
  </si>
  <si>
    <t>CROWDFUNDING PRESTAMOS</t>
  </si>
  <si>
    <t>LIQUIDEZ EN BANCO</t>
  </si>
  <si>
    <t>Imagin</t>
  </si>
  <si>
    <t>Equito</t>
  </si>
  <si>
    <t>TOTAL</t>
  </si>
  <si>
    <t>Liquidez</t>
  </si>
  <si>
    <t>Aportacion de 1300 a las remuneradas desde mayo</t>
  </si>
  <si>
    <t>falta ñaadir dividendos de etoro</t>
  </si>
  <si>
    <t>Falta añadir dividenddo bbva</t>
  </si>
  <si>
    <t>Falta añadir acciones bbva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</si>
</sst>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rgb="FF45818E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7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7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ATRIMONIO TOTAL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TRIMONIO TOTAL 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5" displayName="Tabla" name="Tabla" id="1">
  <tableColumns count="14">
    <tableColumn name="CATEGORIA" id="1"/>
    <tableColumn name="ENERO" id="2"/>
    <tableColumn name="FEBRERO" id="3"/>
    <tableColumn name="MARZO" id="4"/>
    <tableColumn name="ABRIL" id="5"/>
    <tableColumn name="MAYO" id="6"/>
    <tableColumn name="JUNIO" id="7"/>
    <tableColumn name="JULIO" id="8"/>
    <tableColumn name="AGOSTO" id="9"/>
    <tableColumn name="SEPTIEMBRE" id="10"/>
    <tableColumn name="OCTUBRE" id="11"/>
    <tableColumn name="NOVIEMBRE" id="12"/>
    <tableColumn name="DICIEMBRE" id="13"/>
    <tableColumn name="Objetivo" id="14"/>
  </tableColumns>
  <tableStyleInfo name="PATRIMONIO TOTAL 2026-style" showColumnStripes="0" showFirstColumn="1" showLastColumn="1" showRowStripes="1"/>
</table>
</file>

<file path=xl/tables/table2.xml><?xml version="1.0" encoding="utf-8"?>
<table xmlns="http://schemas.openxmlformats.org/spreadsheetml/2006/main" ref="A1:M13" displayName="Tabla_2" name="Tabla_2" id="2">
  <tableColumns count="13">
    <tableColumn name="CATEGORIA" id="1"/>
    <tableColumn name="FEBRERO" id="2"/>
    <tableColumn name="MARZO" id="3"/>
    <tableColumn name="ABRIL" id="4"/>
    <tableColumn name="MAYO" id="5"/>
    <tableColumn name="JUNIO" id="6"/>
    <tableColumn name="JULIO" id="7"/>
    <tableColumn name="AGOSTO" id="8"/>
    <tableColumn name="SEPTIEMBRE" id="9"/>
    <tableColumn name="OCTUBRE" id="10"/>
    <tableColumn name="NOVIEMBRE" id="11"/>
    <tableColumn name="DICIEMBRE" id="12"/>
    <tableColumn name="Objetivo" id="13"/>
  </tableColumns>
  <tableStyleInfo name="PATRIMONIO TOTAL 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3" width="15.75"/>
    <col customWidth="1" min="10" max="10" width="15.38"/>
    <col customWidth="1" min="11" max="11" width="12.75"/>
    <col customWidth="1" min="12" max="12" width="14.75"/>
    <col customWidth="1" min="13" max="13" width="14.0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ht="22.5" customHeight="1">
      <c r="A2" s="4" t="s">
        <v>14</v>
      </c>
      <c r="B2" s="5">
        <f>IFERROR(__xludf.DUMMYFUNCTION("IMPORTRANGE(""11Acl-gMNCJ80RXtqxLHr9AnWomkdj_TEl4E8Vx0cG8Y"", ""General!B3"")"),703.6600000000001)</f>
        <v>703.66</v>
      </c>
      <c r="C2" s="5">
        <f>IFERROR(__xludf.DUMMYFUNCTION("IMPORTRANGE(""11Acl-gMNCJ80RXtqxLHr9AnWomkdj_TEl4E8Vx0cG8Y"", ""General!C3"")"),239.14)</f>
        <v>239.14</v>
      </c>
      <c r="D2" s="5">
        <f>IFERROR(__xludf.DUMMYFUNCTION("IMPORTRANGE(""11Acl-gMNCJ80RXtqxLHr9AnWomkdj_TEl4E8Vx0cG8Y"", ""General!D3"")"),293.34000000000003)</f>
        <v>293.34</v>
      </c>
      <c r="E2" s="6">
        <f>IFERROR(__xludf.DUMMYFUNCTION("IMPORTRANGE(""11Acl-gMNCJ80RXtqxLHr9AnWomkdj_TEl4E8Vx0cG8Y"", ""General!E3"")"),492.53)</f>
        <v>492.53</v>
      </c>
      <c r="F2" s="6">
        <f>IFERROR(__xludf.DUMMYFUNCTION("IMPORTRANGE(""11Acl-gMNCJ80RXtqxLHr9AnWomkdj_TEl4E8Vx0cG8Y"", ""General!F3"")"),313.38000000000005)</f>
        <v>313.38</v>
      </c>
      <c r="G2" s="6">
        <f>IFERROR(__xludf.DUMMYFUNCTION("IMPORTRANGE(""11Acl-gMNCJ80RXtqxLHr9AnWomkdj_TEl4E8Vx0cG8Y"", ""General!G3"")"),751.2300000000001)</f>
        <v>751.23</v>
      </c>
      <c r="H2" s="6">
        <f>IFERROR(__xludf.DUMMYFUNCTION("IMPORTRANGE(""11Acl-gMNCJ80RXtqxLHr9AnWomkdj_TEl4E8Vx0cG8Y"", ""General!H3"")"),0.0)</f>
        <v>0</v>
      </c>
      <c r="I2" s="7">
        <f>IFERROR(__xludf.DUMMYFUNCTION("IMPORTRANGE(""11Acl-gMNCJ80RXtqxLHr9AnWomkdj_TEl4E8Vx0cG8Y"", ""General!I3"")"),0.0)</f>
        <v>0</v>
      </c>
      <c r="J2" s="7">
        <f>IFERROR(__xludf.DUMMYFUNCTION("IMPORTRANGE(""11Acl-gMNCJ80RXtqxLHr9AnWomkdj_TEl4E8Vx0cG8Y"", ""General!J3"")"),0.0)</f>
        <v>0</v>
      </c>
      <c r="K2" s="7">
        <f>IFERROR(__xludf.DUMMYFUNCTION("IMPORTRANGE(""11Acl-gMNCJ80RXtqxLHr9AnWomkdj_TEl4E8Vx0cG8Y"", ""General!K3"")"),0.0)</f>
        <v>0</v>
      </c>
      <c r="L2" s="7">
        <f>IFERROR(__xludf.DUMMYFUNCTION("IMPORTRANGE(""11Acl-gMNCJ80RXtqxLHr9AnWomkdj_TEl4E8Vx0cG8Y"", ""General!L3"")"),0.0)</f>
        <v>0</v>
      </c>
      <c r="M2" s="7">
        <f>IFERROR(__xludf.DUMMYFUNCTION("IMPORTRANGE(""11Acl-gMNCJ80RXtqxLHr9AnWomkdj_TEl4E8Vx0cG8Y"", ""General!M3"")"),0.0)</f>
        <v>0</v>
      </c>
      <c r="N2" s="8">
        <f>IFERROR(__xludf.DUMMYFUNCTION("IMPORTRANGE(""11Acl-gMNCJ80RXtqxLHr9AnWomkdj_TEl4E8Vx0cG8Y"", ""General!N2"")"),5347.52)</f>
        <v>5347.52</v>
      </c>
    </row>
    <row r="3" ht="22.5" customHeight="1">
      <c r="A3" s="9" t="s">
        <v>15</v>
      </c>
      <c r="B3" s="10">
        <f>IFERROR(__xludf.DUMMYFUNCTION("IMPORTRANGE(""1SY1olgdgqkKioUlRDPFnVANquyib0-ek9MyigKelTW0"", ""Dinero total a final de mes!C2"")"),1018.98)</f>
        <v>1018.98</v>
      </c>
      <c r="C3" s="10">
        <f>IFERROR(__xludf.DUMMYFUNCTION("IMPORTRANGE(""1SY1olgdgqkKioUlRDPFnVANquyib0-ek9MyigKelTW0"", ""Dinero total a final de mes!C3"")"),1165.68)</f>
        <v>1165.68</v>
      </c>
      <c r="D3" s="10">
        <f>IFERROR(__xludf.DUMMYFUNCTION("IMPORTRANGE(""1SY1olgdgqkKioUlRDPFnVANquyib0-ek9MyigKelTW0"", ""Dinero total a final de mes!C4"")"),990.15)</f>
        <v>990.15</v>
      </c>
      <c r="E3" s="10">
        <f>IFERROR(__xludf.DUMMYFUNCTION("IMPORTRANGE(""1SY1olgdgqkKioUlRDPFnVANquyib0-ek9MyigKelTW0"", ""Dinero total a final de mes!C5"")"),968.28)</f>
        <v>968.28</v>
      </c>
      <c r="F3" s="10">
        <f>IFERROR(__xludf.DUMMYFUNCTION("IMPORTRANGE(""1SY1olgdgqkKioUlRDPFnVANquyib0-ek9MyigKelTW0"", ""Dinero total a final de mes!C6"")"),1262.65)</f>
        <v>1262.65</v>
      </c>
      <c r="G3" s="11">
        <f>SUM(1038.51+88.3)</f>
        <v>1126.81</v>
      </c>
      <c r="H3" s="11"/>
      <c r="I3" s="12"/>
      <c r="J3" s="13"/>
      <c r="K3" s="11"/>
      <c r="L3" s="11"/>
      <c r="M3" s="11"/>
      <c r="N3" s="14">
        <v>2422.0</v>
      </c>
    </row>
    <row r="4" ht="22.5" customHeight="1">
      <c r="A4" s="9" t="s">
        <v>16</v>
      </c>
      <c r="B4" s="15">
        <v>2396.28</v>
      </c>
      <c r="C4" s="15">
        <v>2082.0</v>
      </c>
      <c r="D4" s="9">
        <v>1986.43</v>
      </c>
      <c r="E4" s="9">
        <v>2084.26</v>
      </c>
      <c r="F4" s="4">
        <v>0.0</v>
      </c>
      <c r="G4" s="4">
        <v>0.0</v>
      </c>
      <c r="I4" s="16"/>
      <c r="N4" s="14">
        <v>3000.0</v>
      </c>
    </row>
    <row r="5" ht="22.5" customHeight="1">
      <c r="A5" s="9" t="s">
        <v>17</v>
      </c>
      <c r="B5" s="10">
        <f>IFERROR(__xludf.DUMMYFUNCTION("IMPORTRANGE(""1F3eqT21b4DarwrMZHmKoFO3HZtXE5yqA39kUCM8pGic"", ""SEGUIMIENTO - MOVIMIENTOS!D6"")"),1525.05)</f>
        <v>1525.05</v>
      </c>
      <c r="C5" s="10">
        <f>IFERROR(__xludf.DUMMYFUNCTION("IMPORTRANGE(""1F3eqT21b4DarwrMZHmKoFO3HZtXE5yqA39kUCM8pGic"", ""SEGUIMIENTO - MOVIMIENTOS!D6"")"),1525.05)</f>
        <v>1525.05</v>
      </c>
      <c r="D5" s="17">
        <f>IFERROR(__xludf.DUMMYFUNCTION("IMPORTRANGE(""1F3eqT21b4DarwrMZHmKoFO3HZtXE5yqA39kUCM8pGic"", ""SEGUIMIENTO - MOVIMIENTOS!D6"")"),1525.05)</f>
        <v>1525.05</v>
      </c>
      <c r="E5" s="17">
        <f>IFERROR(__xludf.DUMMYFUNCTION("IMPORTRANGE(""1F3eqT21b4DarwrMZHmKoFO3HZtXE5yqA39kUCM8pGic"", ""SEGUIMIENTO - MOVIMIENTOS!D6"")"),1525.05)</f>
        <v>1525.05</v>
      </c>
      <c r="F5" s="18">
        <f>IFERROR(__xludf.DUMMYFUNCTION("IMPORTRANGE(""1F3eqT21b4DarwrMZHmKoFO3HZtXE5yqA39kUCM8pGic"", ""SEGUIMIENTO - MOVIMIENTOS!D6"")"),1525.05)</f>
        <v>1525.05</v>
      </c>
      <c r="G5" s="4">
        <v>1525.05</v>
      </c>
      <c r="I5" s="16"/>
      <c r="N5" s="14">
        <v>1800.0</v>
      </c>
    </row>
    <row r="6" ht="22.5" customHeight="1">
      <c r="A6" s="9" t="s">
        <v>18</v>
      </c>
      <c r="B6" s="10">
        <f>IFERROR(__xludf.DUMMYFUNCTION("IMPORTRANGE(""1nGkScLufhSRpC_AvbREaEVCZKYtCa70kLMFx0UPnzyQ"", ""CRYPTO MENSUAL!I13"")"),188.95)</f>
        <v>188.95</v>
      </c>
      <c r="C6" s="10">
        <f>IFERROR(__xludf.DUMMYFUNCTION("IMPORTRANGE(""1nGkScLufhSRpC_AvbREaEVCZKYtCa70kLMFx0UPnzyQ"", ""CRYPTO MENSUAL!I16"")"),300.39)</f>
        <v>300.39</v>
      </c>
      <c r="D6" s="10">
        <f>IFERROR(__xludf.DUMMYFUNCTION("IMPORTRANGE(""1nGkScLufhSRpC_AvbREaEVCZKYtCa70kLMFx0UPnzyQ"", ""CRYPTO MENSUAL!I17"")"),366.1)</f>
        <v>366.1</v>
      </c>
      <c r="E6" s="10">
        <f>IFERROR(__xludf.DUMMYFUNCTION("IMPORTRANGE(""1nGkScLufhSRpC_AvbREaEVCZKYtCa70kLMFx0UPnzyQ"", ""CRYPTO MENSUAL!I18"")"),405.4)</f>
        <v>405.4</v>
      </c>
      <c r="F6" s="13">
        <f>IFERROR(__xludf.DUMMYFUNCTION("IMPORTRANGE(""1nGkScLufhSRpC_AvbREaEVCZKYtCa70kLMFx0UPnzyQ"", ""CRYPTO MENSUAL!I22"")"),1080.27)</f>
        <v>1080.27</v>
      </c>
      <c r="G6" s="13">
        <f>SUM(1827.9+900.38)</f>
        <v>2728.28</v>
      </c>
      <c r="H6" s="13"/>
      <c r="I6" s="19"/>
      <c r="J6" s="11"/>
      <c r="K6" s="11"/>
      <c r="L6" s="13"/>
      <c r="M6" s="11"/>
      <c r="N6" s="14">
        <v>500.0</v>
      </c>
    </row>
    <row r="7" ht="22.5" customHeight="1">
      <c r="A7" s="20" t="s">
        <v>19</v>
      </c>
      <c r="B7" s="10">
        <f>IFERROR(__xludf.DUMMYFUNCTION("IMPORTRANGE(""1T_OLm3vhQNSHY7ivdmdqnfAWxUKJg-YiDQtx9NLFpT4"", ""Seguimiento!O17"")"),16768.37)</f>
        <v>16768.37</v>
      </c>
      <c r="C7" s="10">
        <f>IFERROR(__xludf.DUMMYFUNCTION("IMPORTRANGE(""1T_OLm3vhQNSHY7ivdmdqnfAWxUKJg-YiDQtx9NLFpT4"", ""Seguimiento!O18"")"),15180.749999999998)</f>
        <v>15180.75</v>
      </c>
      <c r="D7" s="10">
        <f>IFERROR(__xludf.DUMMYFUNCTION("IMPORTRANGE(""1T_OLm3vhQNSHY7ivdmdqnfAWxUKJg-YiDQtx9NLFpT4"", ""Seguimiento!O19"")"),14363.429999999998)</f>
        <v>14363.43</v>
      </c>
      <c r="E7" s="10">
        <f>IFERROR(__xludf.DUMMYFUNCTION("IMPORTRANGE(""1T_OLm3vhQNSHY7ivdmdqnfAWxUKJg-YiDQtx9NLFpT4"", ""Seguimiento!O20"")"),8523.77)</f>
        <v>8523.77</v>
      </c>
      <c r="F7" s="11">
        <f>IFERROR(__xludf.DUMMYFUNCTION("IMPORTRANGE(""1T_OLm3vhQNSHY7ivdmdqnfAWxUKJg-YiDQtx9NLFpT4"", ""Seguimiento!O21"")"),4528.5)</f>
        <v>4528.5</v>
      </c>
      <c r="G7" s="11">
        <f>IFERROR(__xludf.DUMMYFUNCTION("IMPORTRANGE(""1T_OLm3vhQNSHY7ivdmdqnfAWxUKJg-YiDQtx9NLFpT4"", ""Seguimiento!O22"")"),1931.19)</f>
        <v>1931.19</v>
      </c>
      <c r="H7" s="11"/>
      <c r="I7" s="19"/>
      <c r="J7" s="11"/>
      <c r="K7" s="11"/>
      <c r="L7" s="11"/>
      <c r="M7" s="11"/>
      <c r="N7" s="14">
        <v>5000.0</v>
      </c>
    </row>
    <row r="8" ht="22.5" customHeight="1">
      <c r="A8" s="20" t="s">
        <v>20</v>
      </c>
      <c r="B8" s="15">
        <f>IFERROR(__xludf.DUMMYFUNCTION("IMPORTRANGE(""1EpSlUpW9BOdu87SArTw5vKjoBhvDGBHNX96Ua10yhsA"", ""Pagos - Cuenta SAVE!L14"")"),29755.21)</f>
        <v>29755.21</v>
      </c>
      <c r="C8" s="15">
        <f>IFERROR(__xludf.DUMMYFUNCTION("IMPORTRANGE(""1EpSlUpW9BOdu87SArTw5vKjoBhvDGBHNX96Ua10yhsA"", ""Pagos - Cuenta SAVE!L15"")"),35829.74)</f>
        <v>35829.74</v>
      </c>
      <c r="D8" s="15">
        <f>IFERROR(__xludf.DUMMYFUNCTION("IMPORTRANGE(""1EpSlUpW9BOdu87SArTw5vKjoBhvDGBHNX96Ua10yhsA"", ""Pagos - Cuenta SAVE!L16"")"),37398.88)</f>
        <v>37398.88</v>
      </c>
      <c r="E8" s="15">
        <f>IFERROR(__xludf.DUMMYFUNCTION("IMPORTRANGE(""1EpSlUpW9BOdu87SArTw5vKjoBhvDGBHNX96Ua10yhsA"", ""Pagos - Cuenta SAVE!L17"")"),44056.13)</f>
        <v>44056.13</v>
      </c>
      <c r="F8" s="13">
        <f>IFERROR(__xludf.DUMMYFUNCTION("IMPORTRANGE(""1EpSlUpW9BOdu87SArTw5vKjoBhvDGBHNX96Ua10yhsA"", ""Pagos - Cuenta SAVE!L18"")"),50066.84)</f>
        <v>50066.84</v>
      </c>
      <c r="G8" s="13">
        <f>IFERROR(__xludf.DUMMYFUNCTION("IMPORTRANGE(""1EpSlUpW9BOdu87SArTw5vKjoBhvDGBHNX96Ua10yhsA"", ""Pagos - Cuenta SAVE!L19"")"),50433.91)</f>
        <v>50433.91</v>
      </c>
      <c r="H8" s="13"/>
      <c r="I8" s="12"/>
      <c r="J8" s="13"/>
      <c r="K8" s="13"/>
      <c r="L8" s="13"/>
      <c r="M8" s="13"/>
      <c r="N8" s="14">
        <v>50000.0</v>
      </c>
    </row>
    <row r="9" ht="22.5" customHeight="1">
      <c r="A9" s="20" t="s">
        <v>21</v>
      </c>
      <c r="B9" s="15">
        <f>IFERROR(__xludf.DUMMYFUNCTION("IMPORTRANGE(""1EpSlUpW9BOdu87SArTw5vKjoBhvDGBHNX96Ua10yhsA"", ""Pagos - Cuenta HEAL!K14"")"),6260.19)</f>
        <v>6260.19</v>
      </c>
      <c r="C9" s="15">
        <f>IFERROR(__xludf.DUMMYFUNCTION("IMPORTRANGE(""1EpSlUpW9BOdu87SArTw5vKjoBhvDGBHNX96Ua10yhsA"", ""Pagos - Cuenta HEAL!K15"")"),6812.38)</f>
        <v>6812.38</v>
      </c>
      <c r="D9" s="15">
        <f>IFERROR(__xludf.DUMMYFUNCTION("IMPORTRANGE(""1EpSlUpW9BOdu87SArTw5vKjoBhvDGBHNX96Ua10yhsA"", ""Pagos - Cuenta HEAL!K16"")"),7398.64)</f>
        <v>7398.64</v>
      </c>
      <c r="E9" s="15">
        <f>IFERROR(__xludf.DUMMYFUNCTION("IMPORTRANGE(""1EpSlUpW9BOdu87SArTw5vKjoBhvDGBHNX96Ua10yhsA"", ""Pagos - Cuenta HEAL!K17"")"),8071.6)</f>
        <v>8071.6</v>
      </c>
      <c r="F9" s="13">
        <f>IFERROR(__xludf.DUMMYFUNCTION("IMPORTRANGE(""1EpSlUpW9BOdu87SArTw5vKjoBhvDGBHNX96Ua10yhsA"", ""Pagos - Cuenta HEAL!K18"")"),8767.52)</f>
        <v>8767.52</v>
      </c>
      <c r="G9" s="13">
        <f>IFERROR(__xludf.DUMMYFUNCTION("IMPORTRANGE(""1EpSlUpW9BOdu87SArTw5vKjoBhvDGBHNX96Ua10yhsA"", ""Pagos - Cuenta HEAL!K19"")"),9458.79)</f>
        <v>9458.79</v>
      </c>
      <c r="H9" s="13" t="str">
        <f>IFERROR(__xludf.DUMMYFUNCTION("IMPORTRANGE(""1EpSlUpW9BOdu87SArTw5vKjoBhvDGBHNX96Ua10yhsA"", ""Pagos - Cuenta HEAL!K20"")"),"")</f>
        <v/>
      </c>
      <c r="I9" s="12" t="str">
        <f>IFERROR(__xludf.DUMMYFUNCTION("IMPORTRANGE(""1EpSlUpW9BOdu87SArTw5vKjoBhvDGBHNX96Ua10yhsA"", ""Pagos - Cuenta HEAL!K21"")"),"")</f>
        <v/>
      </c>
      <c r="J9" s="13" t="str">
        <f>IFERROR(__xludf.DUMMYFUNCTION("IMPORTRANGE(""1EpSlUpW9BOdu87SArTw5vKjoBhvDGBHNX96Ua10yhsA"", ""Pagos - Cuenta HEAL!K22"")"),"")</f>
        <v/>
      </c>
      <c r="K9" s="13" t="str">
        <f>IFERROR(__xludf.DUMMYFUNCTION("IMPORTRANGE(""1EpSlUpW9BOdu87SArTw5vKjoBhvDGBHNX96Ua10yhsA"", ""Pagos - Cuenta HEAL!K23"")"),"")</f>
        <v/>
      </c>
      <c r="L9" s="13"/>
      <c r="M9" s="13"/>
      <c r="N9" s="14">
        <v>14000.0</v>
      </c>
    </row>
    <row r="10" ht="22.5" customHeight="1">
      <c r="A10" s="9" t="s">
        <v>22</v>
      </c>
      <c r="B10" s="15">
        <f>IFERROR(__xludf.DUMMYFUNCTION("IMPORTRANGE(""1XnUpdg5jZvbW8bRgIUJH8a9CiCpmIZgmVPwpwikE9BU"", ""Seguimiento!B14"")"),5454.51)</f>
        <v>5454.51</v>
      </c>
      <c r="C10" s="15">
        <f>IFERROR(__xludf.DUMMYFUNCTION("IMPORTRANGE(""1XnUpdg5jZvbW8bRgIUJH8a9CiCpmIZgmVPwpwikE9BU"", ""Seguimiento!B15"")"),5492.13)</f>
        <v>5492.13</v>
      </c>
      <c r="D10" s="15">
        <f>IFERROR(__xludf.DUMMYFUNCTION("IMPORTRANGE(""1XnUpdg5jZvbW8bRgIUJH8a9CiCpmIZgmVPwpwikE9BU"", ""Seguimiento!B16"")"),5533.46)</f>
        <v>5533.46</v>
      </c>
      <c r="E10" s="15">
        <f>IFERROR(__xludf.DUMMYFUNCTION("IMPORTRANGE(""1XnUpdg5jZvbW8bRgIUJH8a9CiCpmIZgmVPwpwikE9BU"", ""Seguimiento!B17"")"),5574.33)</f>
        <v>5574.33</v>
      </c>
      <c r="F10" s="13">
        <f>IFERROR(__xludf.DUMMYFUNCTION("IMPORTRANGE(""1XnUpdg5jZvbW8bRgIUJH8a9CiCpmIZgmVPwpwikE9BU"", ""Seguimiento!B18"")"),5611.78)</f>
        <v>5611.78</v>
      </c>
      <c r="G10" s="13">
        <f>IFERROR(__xludf.DUMMYFUNCTION("IMPORTRANGE(""1XnUpdg5jZvbW8bRgIUJH8a9CiCpmIZgmVPwpwikE9BU"", ""Seguimiento!B19"")"),5652.23)</f>
        <v>5652.23</v>
      </c>
      <c r="H10" s="13"/>
      <c r="I10" s="12"/>
      <c r="J10" s="13"/>
      <c r="K10" s="13"/>
      <c r="L10" s="13"/>
      <c r="M10" s="13"/>
      <c r="N10" s="14">
        <v>6000.0</v>
      </c>
    </row>
    <row r="11" ht="22.5" customHeight="1">
      <c r="A11" s="21" t="s">
        <v>23</v>
      </c>
      <c r="B11" s="22">
        <v>608.27</v>
      </c>
      <c r="C11" s="22">
        <v>412.1</v>
      </c>
      <c r="D11" s="23">
        <v>721.65</v>
      </c>
      <c r="E11" s="23">
        <v>648.95</v>
      </c>
      <c r="F11" s="14">
        <v>613.02</v>
      </c>
      <c r="G11" s="14">
        <v>600.0</v>
      </c>
      <c r="H11" s="14"/>
      <c r="I11" s="24"/>
      <c r="J11" s="14"/>
      <c r="K11" s="14"/>
      <c r="L11" s="14"/>
      <c r="M11" s="14"/>
      <c r="N11" s="14">
        <v>500.0</v>
      </c>
    </row>
    <row r="12" ht="22.5" customHeight="1">
      <c r="A12" s="21" t="s">
        <v>24</v>
      </c>
      <c r="B12" s="22">
        <v>5.0</v>
      </c>
      <c r="C12" s="22">
        <v>5.0</v>
      </c>
      <c r="D12" s="22">
        <v>5.0</v>
      </c>
      <c r="E12" s="25">
        <v>5.0</v>
      </c>
      <c r="F12" s="25">
        <v>5.0</v>
      </c>
      <c r="G12" s="25">
        <v>5.0</v>
      </c>
      <c r="H12" s="25">
        <v>5.0</v>
      </c>
      <c r="I12" s="25">
        <v>5.0</v>
      </c>
      <c r="J12" s="25">
        <v>5.0</v>
      </c>
      <c r="K12" s="25">
        <v>5.0</v>
      </c>
      <c r="L12" s="25">
        <v>5.0</v>
      </c>
      <c r="M12" s="25">
        <v>5.0</v>
      </c>
      <c r="N12" s="14">
        <v>5.0</v>
      </c>
    </row>
    <row r="13" ht="22.5" customHeight="1">
      <c r="A13" s="9" t="s">
        <v>25</v>
      </c>
      <c r="B13" s="22">
        <v>0.0</v>
      </c>
      <c r="C13" s="22">
        <v>0.0</v>
      </c>
      <c r="D13" s="22">
        <v>0.0</v>
      </c>
      <c r="E13" s="25">
        <v>0.0</v>
      </c>
      <c r="F13" s="25">
        <f>IFERROR(__xludf.DUMMYFUNCTION("IMPORTRANGE(""1VdSSA2G5yi1ZiICF9c5tCkObcwsbHdlelWLa6m3h3fU"", ""Seguimiento!I2"")"),100.0)</f>
        <v>100</v>
      </c>
      <c r="G13" s="25">
        <v>200.0</v>
      </c>
      <c r="H13" s="25"/>
      <c r="I13" s="25"/>
      <c r="J13" s="25"/>
      <c r="K13" s="25"/>
      <c r="L13" s="25"/>
      <c r="M13" s="25"/>
      <c r="N13" s="14"/>
    </row>
    <row r="14" ht="22.5" customHeight="1">
      <c r="A14" s="26" t="s">
        <v>26</v>
      </c>
      <c r="B14" s="27">
        <f>SUM(B3:B12)</f>
        <v>63980.81</v>
      </c>
      <c r="C14" s="27">
        <f t="shared" ref="C14:E14" si="1">SUM(C3:C13)</f>
        <v>68805.22</v>
      </c>
      <c r="D14" s="27">
        <f t="shared" si="1"/>
        <v>70288.79</v>
      </c>
      <c r="E14" s="27">
        <f t="shared" si="1"/>
        <v>71862.77</v>
      </c>
      <c r="F14" s="27">
        <f>SUM(F3:F12)</f>
        <v>73460.63</v>
      </c>
      <c r="G14" s="27">
        <f>SUM(G3:G13)</f>
        <v>73661.26</v>
      </c>
      <c r="H14" s="27">
        <f t="shared" ref="H14:M14" si="2">SUM(H3:H11)</f>
        <v>0</v>
      </c>
      <c r="I14" s="27">
        <f t="shared" si="2"/>
        <v>0</v>
      </c>
      <c r="J14" s="27">
        <f t="shared" si="2"/>
        <v>0</v>
      </c>
      <c r="K14" s="27">
        <f t="shared" si="2"/>
        <v>0</v>
      </c>
      <c r="L14" s="27">
        <f t="shared" si="2"/>
        <v>0</v>
      </c>
      <c r="M14" s="27">
        <f t="shared" si="2"/>
        <v>0</v>
      </c>
      <c r="N14" s="28">
        <f>SUM(N3:N12)</f>
        <v>83227</v>
      </c>
    </row>
    <row r="15" ht="22.5" customHeight="1">
      <c r="A15" s="23" t="s">
        <v>27</v>
      </c>
      <c r="B15" s="29">
        <f t="shared" ref="B15:G15" si="3">SUM(B12,B11,B9,B8,B7)</f>
        <v>53397.04</v>
      </c>
      <c r="C15" s="29">
        <f t="shared" si="3"/>
        <v>58239.97</v>
      </c>
      <c r="D15" s="29">
        <f t="shared" si="3"/>
        <v>59887.6</v>
      </c>
      <c r="E15" s="29">
        <f t="shared" si="3"/>
        <v>61305.45</v>
      </c>
      <c r="F15" s="29">
        <f t="shared" si="3"/>
        <v>63980.88</v>
      </c>
      <c r="G15" s="29">
        <f t="shared" si="3"/>
        <v>62428.89</v>
      </c>
      <c r="H15" s="29"/>
      <c r="I15" s="29"/>
      <c r="J15" s="29"/>
      <c r="K15" s="29"/>
      <c r="L15" s="29"/>
      <c r="M15" s="29"/>
      <c r="N15" s="30"/>
    </row>
    <row r="18">
      <c r="E18" s="31" t="s">
        <v>28</v>
      </c>
    </row>
  </sheetData>
  <dataValidations>
    <dataValidation type="custom" allowBlank="1" showDropDown="1" sqref="C2:C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5.75"/>
    <col customWidth="1" min="9" max="9" width="15.38"/>
    <col customWidth="1" min="10" max="10" width="12.75"/>
    <col customWidth="1" min="11" max="11" width="14.75"/>
    <col customWidth="1" min="12" max="12" width="14.0"/>
  </cols>
  <sheetData>
    <row r="1" ht="22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3" t="s">
        <v>13</v>
      </c>
    </row>
    <row r="2" ht="22.5" customHeight="1">
      <c r="A2" s="4" t="s">
        <v>14</v>
      </c>
      <c r="B2" s="11">
        <f>IFERROR(__xludf.DUMMYFUNCTION("IMPORTRANGE(""11Acl-gMNCJ80RXtqxLHr9AnWomkdj_TEl4E8Vx0cG8Y"", ""General!C2"")"),330.97999999999996)</f>
        <v>330.98</v>
      </c>
      <c r="C2" s="13">
        <f>IFERROR(__xludf.DUMMYFUNCTION("IMPORTRANGE(""11Acl-gMNCJ80RXtqxLHr9AnWomkdj_TEl4E8Vx0cG8Y"", ""General!D2"")"),257.81)</f>
        <v>257.81</v>
      </c>
      <c r="D2" s="11">
        <f>IFERROR(__xludf.DUMMYFUNCTION("IMPORTRANGE(""11Acl-gMNCJ80RXtqxLHr9AnWomkdj_TEl4E8Vx0cG8Y"", ""General!E2"")"),250.82000000000002)</f>
        <v>250.82</v>
      </c>
      <c r="E2" s="11">
        <f>IFERROR(__xludf.DUMMYFUNCTION("IMPORTRANGE(""11Acl-gMNCJ80RXtqxLHr9AnWomkdj_TEl4E8Vx0cG8Y"", ""General!F2"")"),871.61)</f>
        <v>871.61</v>
      </c>
      <c r="F2" s="11">
        <f>IFERROR(__xludf.DUMMYFUNCTION("IMPORTRANGE(""11Acl-gMNCJ80RXtqxLHr9AnWomkdj_TEl4E8Vx0cG8Y"", ""General!G2"")"),540.83)</f>
        <v>540.83</v>
      </c>
      <c r="G2" s="11">
        <f>IFERROR(__xludf.DUMMYFUNCTION("IMPORTRANGE(""11Acl-gMNCJ80RXtqxLHr9AnWomkdj_TEl4E8Vx0cG8Y"", ""General!H2"")"),451.72)</f>
        <v>451.72</v>
      </c>
      <c r="H2" s="11">
        <f>IFERROR(__xludf.DUMMYFUNCTION("IMPORTRANGE(""11Acl-gMNCJ80RXtqxLHr9AnWomkdj_TEl4E8Vx0cG8Y"", ""General!I2"")"),305.16999999999996)</f>
        <v>305.17</v>
      </c>
      <c r="I2" s="11">
        <f>IFERROR(__xludf.DUMMYFUNCTION("IMPORTRANGE(""11Acl-gMNCJ80RXtqxLHr9AnWomkdj_TEl4E8Vx0cG8Y"", ""General!J2"")"),517.02)</f>
        <v>517.02</v>
      </c>
      <c r="J2" s="11">
        <f>IFERROR(__xludf.DUMMYFUNCTION("IMPORTRANGE(""11Acl-gMNCJ80RXtqxLHr9AnWomkdj_TEl4E8Vx0cG8Y"", ""General!K2"")"),396.93)</f>
        <v>396.93</v>
      </c>
      <c r="K2" s="11">
        <f>IFERROR(__xludf.DUMMYFUNCTION("IMPORTRANGE(""11Acl-gMNCJ80RXtqxLHr9AnWomkdj_TEl4E8Vx0cG8Y"", ""General!L2"")"),387.93999999999994)</f>
        <v>387.94</v>
      </c>
      <c r="L2" s="11">
        <f>IFERROR(__xludf.DUMMYFUNCTION("IMPORTRANGE(""11Acl-gMNCJ80RXtqxLHr9AnWomkdj_TEl4E8Vx0cG8Y"", ""General!M2"")"),343.5300000000001)</f>
        <v>343.53</v>
      </c>
      <c r="M2" s="32">
        <f>IFERROR(__xludf.DUMMYFUNCTION("IMPORTRANGE(""11Acl-gMNCJ80RXtqxLHr9AnWomkdj_TEl4E8Vx0cG8Y"", ""General!N2"")"),5347.52)</f>
        <v>5347.52</v>
      </c>
    </row>
    <row r="3" ht="22.5" customHeight="1">
      <c r="A3" s="9" t="s">
        <v>15</v>
      </c>
      <c r="B3" s="11">
        <f>IFERROR(__xludf.DUMMYFUNCTION("IMPORTRANGE(""1SY1olgdgqkKioUlRDPFnVANquyib0-ek9MyigKelTW0"", ""TOTAL INVERTIDO POR MES!C2"")"),413.45)</f>
        <v>413.45</v>
      </c>
      <c r="C3" s="11">
        <f>IFERROR(__xludf.DUMMYFUNCTION("IMPORTRANGE(""1SY1olgdgqkKioUlRDPFnVANquyib0-ek9MyigKelTW0"", ""TOTAL INVERTIDO POR MES!C3"")"),461.2)</f>
        <v>461.2</v>
      </c>
      <c r="D3" s="11">
        <f>IFERROR(__xludf.DUMMYFUNCTION("IMPORTRANGE(""1SY1olgdgqkKioUlRDPFnVANquyib0-ek9MyigKelTW0"", ""TOTAL INVERTIDO POR MES!C4"")"),507.41999999999996)</f>
        <v>507.42</v>
      </c>
      <c r="E3" s="11">
        <f>IFERROR(__xludf.DUMMYFUNCTION("IMPORTRANGE(""1SY1olgdgqkKioUlRDPFnVANquyib0-ek9MyigKelTW0"", ""TOTAL INVERTIDO POR MES!C5"")"),551.53)</f>
        <v>551.53</v>
      </c>
      <c r="F3" s="11">
        <f>IFERROR(__xludf.DUMMYFUNCTION("IMPORTRANGE(""1SY1olgdgqkKioUlRDPFnVANquyib0-ek9MyigKelTW0"", ""TOTAL INVERTIDO POR MES!C6"")"),595.98)</f>
        <v>595.98</v>
      </c>
      <c r="G3" s="11">
        <f>IFERROR(__xludf.DUMMYFUNCTION("IMPORTRANGE(""1SY1olgdgqkKioUlRDPFnVANquyib0-ek9MyigKelTW0"", ""TOTAL INVERTIDO POR MES!C7"")"),639.54)</f>
        <v>639.54</v>
      </c>
      <c r="H3" s="12">
        <f>IFERROR(__xludf.DUMMYFUNCTION("IMPORTRANGE(""1SY1olgdgqkKioUlRDPFnVANquyib0-ek9MyigKelTW0"", ""TOTAL INVERTIDO POR MES!C8"")"),682.6999999999999)</f>
        <v>682.7</v>
      </c>
      <c r="I3" s="15">
        <f>IFERROR(__xludf.DUMMYFUNCTION("IMPORTRANGE(""1SY1olgdgqkKioUlRDPFnVANquyib0-ek9MyigKelTW0"", ""TOTAL INVERTIDO POR MES!C9"")"),725.7399999999999)</f>
        <v>725.74</v>
      </c>
      <c r="J3" s="11">
        <f>IFERROR(__xludf.DUMMYFUNCTION("IMPORTRANGE(""1SY1olgdgqkKioUlRDPFnVANquyib0-ek9MyigKelTW0"", ""TOTAL INVERTIDO POR MES!C10"")"),768.4399999999999)</f>
        <v>768.44</v>
      </c>
      <c r="K3" s="11">
        <f>IFERROR(__xludf.DUMMYFUNCTION("IMPORTRANGE(""1SY1olgdgqkKioUlRDPFnVANquyib0-ek9MyigKelTW0"", ""TOTAL INVERTIDO POR MES!C11"")"),811.53)</f>
        <v>811.53</v>
      </c>
      <c r="L3" s="11">
        <f>IFERROR(__xludf.DUMMYFUNCTION("IMPORTRANGE(""1SY1olgdgqkKioUlRDPFnVANquyib0-ek9MyigKelTW0"", ""TOTAL INVERTIDO POR MES!C13"")"),897.98)</f>
        <v>897.98</v>
      </c>
      <c r="M3" s="14">
        <v>900.0</v>
      </c>
    </row>
    <row r="4" ht="22.5" customHeight="1">
      <c r="A4" s="9" t="s">
        <v>16</v>
      </c>
      <c r="B4" s="13">
        <v>906.15</v>
      </c>
      <c r="C4" s="4">
        <v>887.51</v>
      </c>
      <c r="D4" s="4">
        <v>864.8</v>
      </c>
      <c r="E4" s="4">
        <v>880.77</v>
      </c>
      <c r="F4" s="4">
        <v>1008.46</v>
      </c>
      <c r="G4" s="4">
        <v>1555.24</v>
      </c>
      <c r="H4" s="16">
        <v>2125.63</v>
      </c>
      <c r="I4" s="9">
        <v>2477.0</v>
      </c>
      <c r="J4" s="4">
        <v>2421.13</v>
      </c>
      <c r="K4" s="4">
        <v>2159.76</v>
      </c>
      <c r="L4" s="4">
        <v>2217.84</v>
      </c>
      <c r="M4" s="14">
        <v>2600.0</v>
      </c>
    </row>
    <row r="5" ht="22.5" customHeight="1">
      <c r="A5" s="9" t="s">
        <v>17</v>
      </c>
      <c r="B5" s="11">
        <f>IFERROR(__xludf.DUMMYFUNCTION("IMPORTRANGE(""1F3eqT21b4DarwrMZHmKoFO3HZtXE5yqA39kUCM8pGic"", ""SEGUIMIENTO - MOVIMIENTOS!D5"")"),1025.05)</f>
        <v>1025.05</v>
      </c>
      <c r="C5" s="4">
        <v>1025.05</v>
      </c>
      <c r="D5" s="4">
        <v>1025.05</v>
      </c>
      <c r="E5" s="4">
        <v>1525.05</v>
      </c>
      <c r="F5" s="4">
        <v>1525.05</v>
      </c>
      <c r="G5" s="4">
        <v>1525.05</v>
      </c>
      <c r="H5" s="16">
        <v>1525.05</v>
      </c>
      <c r="I5" s="9">
        <v>1525.05</v>
      </c>
      <c r="J5" s="4">
        <v>1525.05</v>
      </c>
      <c r="K5" s="4">
        <v>1525.05</v>
      </c>
      <c r="L5" s="4">
        <v>1525.05</v>
      </c>
      <c r="M5" s="14">
        <v>1525.05</v>
      </c>
    </row>
    <row r="6" ht="22.5" customHeight="1">
      <c r="A6" s="9" t="s">
        <v>18</v>
      </c>
      <c r="B6" s="11">
        <f>IFERROR(__xludf.DUMMYFUNCTION("IMPORTRANGE(""1nGkScLufhSRpC_AvbREaEVCZKYtCa70kLMFx0UPnzyQ"", ""CRYPTO MENSUAL!I2"")"),54.4)</f>
        <v>54.4</v>
      </c>
      <c r="C6" s="11">
        <f>IFERROR(__xludf.DUMMYFUNCTION("IMPORTRANGE(""1nGkScLufhSRpC_AvbREaEVCZKYtCa70kLMFx0UPnzyQ"", ""CRYPTO MENSUAL!I3"")"),46.96)</f>
        <v>46.96</v>
      </c>
      <c r="D6" s="11">
        <f>IFERROR(__xludf.DUMMYFUNCTION("IMPORTRANGE(""1nGkScLufhSRpC_AvbREaEVCZKYtCa70kLMFx0UPnzyQ"", ""CRYPTO MENSUAL!I4"")"),111.76)</f>
        <v>111.76</v>
      </c>
      <c r="E6" s="13">
        <f>IFERROR(__xludf.DUMMYFUNCTION("IMPORTRANGE(""1nGkScLufhSRpC_AvbREaEVCZKYtCa70kLMFx0UPnzyQ"", ""CRYPTO MENSUAL!I5"")"),123.5)</f>
        <v>123.5</v>
      </c>
      <c r="F6" s="13">
        <f>IFERROR(__xludf.DUMMYFUNCTION("IMPORTRANGE(""1nGkScLufhSRpC_AvbREaEVCZKYtCa70kLMFx0UPnzyQ"", ""CRYPTO MENSUAL!I6"")"),122.14)</f>
        <v>122.14</v>
      </c>
      <c r="G6" s="13">
        <f>IFERROR(__xludf.DUMMYFUNCTION("IMPORTRANGE(""1nGkScLufhSRpC_AvbREaEVCZKYtCa70kLMFx0UPnzyQ"", ""CRYPTO MENSUAL!I7"")"),136.14)</f>
        <v>136.14</v>
      </c>
      <c r="H6" s="19">
        <f>IFERROR(__xludf.DUMMYFUNCTION("IMPORTRANGE(""1nGkScLufhSRpC_AvbREaEVCZKYtCa70kLMFx0UPnzyQ"", ""CRYPTO MENSUAL!I8"")"),124.38)</f>
        <v>124.38</v>
      </c>
      <c r="I6" s="10">
        <f>IFERROR(__xludf.DUMMYFUNCTION("IMPORTRANGE(""1nGkScLufhSRpC_AvbREaEVCZKYtCa70kLMFx0UPnzyQ"", ""CRYPTO MENSUAL!I9"")"),129.33)</f>
        <v>129.33</v>
      </c>
      <c r="J6" s="11">
        <f>IFERROR(__xludf.DUMMYFUNCTION("IMPORTRANGE(""1nGkScLufhSRpC_AvbREaEVCZKYtCa70kLMFx0UPnzyQ"", ""CRYPTO MENSUAL!I10"")"),127.36)</f>
        <v>127.36</v>
      </c>
      <c r="K6" s="13">
        <f>IFERROR(__xludf.DUMMYFUNCTION("IMPORTRANGE(""1nGkScLufhSRpC_AvbREaEVCZKYtCa70kLMFx0UPnzyQ"", ""CRYPTO MENSUAL!I11"")"),157.13)</f>
        <v>157.13</v>
      </c>
      <c r="L6" s="11">
        <f>IFERROR(__xludf.DUMMYFUNCTION("IMPORTRANGE(""1nGkScLufhSRpC_AvbREaEVCZKYtCa70kLMFx0UPnzyQ"", ""CRYPTO MENSUAL!I12"")"),148.96)</f>
        <v>148.96</v>
      </c>
      <c r="M6" s="14">
        <v>150.0</v>
      </c>
    </row>
    <row r="7" ht="22.5" customHeight="1">
      <c r="A7" s="20" t="s">
        <v>19</v>
      </c>
      <c r="B7" s="11">
        <f>IFERROR(__xludf.DUMMYFUNCTION("IMPORTRANGE(""1T_OLm3vhQNSHY7ivdmdqnfAWxUKJg-YiDQtx9NLFpT4"", ""Seguimiento!O6"")"),40236.24)</f>
        <v>40236.24</v>
      </c>
      <c r="C7" s="11">
        <f>IFERROR(__xludf.DUMMYFUNCTION("IMPORTRANGE(""1T_OLm3vhQNSHY7ivdmdqnfAWxUKJg-YiDQtx9NLFpT4"", ""Seguimiento!O7"")"),40333.22)</f>
        <v>40333.22</v>
      </c>
      <c r="D7" s="11">
        <f>IFERROR(__xludf.DUMMYFUNCTION("IMPORTRANGE(""1T_OLm3vhQNSHY7ivdmdqnfAWxUKJg-YiDQtx9NLFpT4"", ""Seguimiento!O8"")"),40395.92)</f>
        <v>40395.92</v>
      </c>
      <c r="E7" s="11">
        <f>IFERROR(__xludf.DUMMYFUNCTION("IMPORTRANGE(""1T_OLm3vhQNSHY7ivdmdqnfAWxUKJg-YiDQtx9NLFpT4"", ""Seguimiento!O9"")"),36435.77)</f>
        <v>36435.77</v>
      </c>
      <c r="F7" s="11">
        <f>IFERROR(__xludf.DUMMYFUNCTION("IMPORTRANGE(""1T_OLm3vhQNSHY7ivdmdqnfAWxUKJg-YiDQtx9NLFpT4"", ""Seguimiento!O10"")"),22755.769999999997)</f>
        <v>22755.77</v>
      </c>
      <c r="G7" s="11">
        <f>IFERROR(__xludf.DUMMYFUNCTION("IMPORTRANGE(""1T_OLm3vhQNSHY7ivdmdqnfAWxUKJg-YiDQtx9NLFpT4"", ""Seguimiento!O11"")"),18774.51)</f>
        <v>18774.51</v>
      </c>
      <c r="H7" s="19">
        <f>IFERROR(__xludf.DUMMYFUNCTION("IMPORTRANGE(""1T_OLm3vhQNSHY7ivdmdqnfAWxUKJg-YiDQtx9NLFpT4"", ""Seguimiento!O12"")"),18790.66)</f>
        <v>18790.66</v>
      </c>
      <c r="I7" s="10">
        <f>IFERROR(__xludf.DUMMYFUNCTION("IMPORTRANGE(""1T_OLm3vhQNSHY7ivdmdqnfAWxUKJg-YiDQtx9NLFpT4"", ""Seguimiento!O13"")"),18806.3)</f>
        <v>18806.3</v>
      </c>
      <c r="J7" s="11">
        <f>IFERROR(__xludf.DUMMYFUNCTION("IMPORTRANGE(""1T_OLm3vhQNSHY7ivdmdqnfAWxUKJg-YiDQtx9NLFpT4"", ""Seguimiento!O14"")"),18822.48)</f>
        <v>18822.48</v>
      </c>
      <c r="K7" s="11">
        <f>IFERROR(__xludf.DUMMYFUNCTION("IMPORTRANGE(""1T_OLm3vhQNSHY7ivdmdqnfAWxUKJg-YiDQtx9NLFpT4"", ""Seguimiento!O15"")"),17838.07)</f>
        <v>17838.07</v>
      </c>
      <c r="L7" s="11">
        <f>IFERROR(__xludf.DUMMYFUNCTION("IMPORTRANGE(""1T_OLm3vhQNSHY7ivdmdqnfAWxUKJg-YiDQtx9NLFpT4"", ""Seguimiento!O16"")"),17853.42)</f>
        <v>17853.42</v>
      </c>
      <c r="M7" s="14">
        <v>19000.0</v>
      </c>
    </row>
    <row r="8" ht="22.5" customHeight="1">
      <c r="A8" s="20" t="s">
        <v>20</v>
      </c>
      <c r="B8" s="13">
        <f>IFERROR(__xludf.DUMMYFUNCTION("IMPORTRANGE(""1EpSlUpW9BOdu87SArTw5vKjoBhvDGBHNX96Ua10yhsA"", ""Pagos - Cuenta SAVE!L3"")"),364.76)</f>
        <v>364.76</v>
      </c>
      <c r="C8" s="13">
        <f>IFERROR(__xludf.DUMMYFUNCTION("IMPORTRANGE(""1EpSlUpW9BOdu87SArTw5vKjoBhvDGBHNX96Ua10yhsA"", ""Pagos - Cuenta SAVE!L4"")"),297.29)</f>
        <v>297.29</v>
      </c>
      <c r="D8" s="13">
        <f>IFERROR(__xludf.DUMMYFUNCTION("IMPORTRANGE(""1EpSlUpW9BOdu87SArTw5vKjoBhvDGBHNX96Ua10yhsA"", ""Pagos - Cuenta SAVE!L5"")"),321.7)</f>
        <v>321.7</v>
      </c>
      <c r="E8" s="13">
        <f>IFERROR(__xludf.DUMMYFUNCTION("IMPORTRANGE(""1EpSlUpW9BOdu87SArTw5vKjoBhvDGBHNX96Ua10yhsA"", ""Pagos - Cuenta SAVE!l6"")"),993.23)</f>
        <v>993.23</v>
      </c>
      <c r="F8" s="13">
        <f>IFERROR(__xludf.DUMMYFUNCTION("IMPORTRANGE(""1EpSlUpW9BOdu87SArTw5vKjoBhvDGBHNX96Ua10yhsA"", ""Pagos - Cuenta SAVE!l7"")"),16447.68)</f>
        <v>16447.68</v>
      </c>
      <c r="G8" s="13">
        <f>IFERROR(__xludf.DUMMYFUNCTION("IMPORTRANGE(""1EpSlUpW9BOdu87SArTw5vKjoBhvDGBHNX96Ua10yhsA"", ""Pagos - Cuenta SAVE!L8"")"),21195.87)</f>
        <v>21195.87</v>
      </c>
      <c r="H8" s="12">
        <f>IFERROR(__xludf.DUMMYFUNCTION("IMPORTRANGE(""1EpSlUpW9BOdu87SArTw5vKjoBhvDGBHNX96Ua10yhsA"", ""Pagos - Cuenta SAVE!L9"")"),22068.39)</f>
        <v>22068.39</v>
      </c>
      <c r="I8" s="15">
        <f>IFERROR(__xludf.DUMMYFUNCTION("IMPORTRANGE(""1EpSlUpW9BOdu87SArTw5vKjoBhvDGBHNX96Ua10yhsA"", ""Pagos - Cuenta SAVE!L10"")"),23052.5)</f>
        <v>23052.5</v>
      </c>
      <c r="J8" s="13">
        <f>IFERROR(__xludf.DUMMYFUNCTION("IMPORTRANGE(""1EpSlUpW9BOdu87SArTw5vKjoBhvDGBHNX96Ua10yhsA"", ""Pagos - Cuenta SAVE!L11"")"),24370.65)</f>
        <v>24370.65</v>
      </c>
      <c r="K8" s="13">
        <f>IFERROR(__xludf.DUMMYFUNCTION("IMPORTRANGE(""1EpSlUpW9BOdu87SArTw5vKjoBhvDGBHNX96Ua10yhsA"", ""Pagos - Cuenta SAVE!L12"")"),26709.13)</f>
        <v>26709.13</v>
      </c>
      <c r="L8" s="13">
        <f>IFERROR(__xludf.DUMMYFUNCTION("IMPORTRANGE(""1EpSlUpW9BOdu87SArTw5vKjoBhvDGBHNX96Ua10yhsA"", ""Pagos - Cuenta SAVE!L13"")"),27914.74)</f>
        <v>27914.74</v>
      </c>
      <c r="M8" s="14">
        <v>26270.0</v>
      </c>
    </row>
    <row r="9" ht="22.5" customHeight="1">
      <c r="A9" s="20" t="s">
        <v>21</v>
      </c>
      <c r="B9" s="13">
        <f>IFERROR(__xludf.DUMMYFUNCTION("IMPORTRANGE(""1EpSlUpW9BOdu87SArTw5vKjoBhvDGBHNX96Ua10yhsA"", ""Pagos - Cuenta HEAL!K3"")"),427.51)</f>
        <v>427.51</v>
      </c>
      <c r="C9" s="13">
        <f>IFERROR(__xludf.DUMMYFUNCTION("IMPORTRANGE(""1EpSlUpW9BOdu87SArTw5vKjoBhvDGBHNX96Ua10yhsA"", ""Pagos - Cuenta HEAL!K4"")"),934.41)</f>
        <v>934.41</v>
      </c>
      <c r="D9" s="13">
        <f>IFERROR(__xludf.DUMMYFUNCTION("IMPORTRANGE(""1EpSlUpW9BOdu87SArTw5vKjoBhvDGBHNX96Ua10yhsA"", ""Pagos - Cuenta HEAL!K5"")"),1414.82)</f>
        <v>1414.82</v>
      </c>
      <c r="E9" s="13">
        <f>IFERROR(__xludf.DUMMYFUNCTION("IMPORTRANGE(""1EpSlUpW9BOdu87SArTw5vKjoBhvDGBHNX96Ua10yhsA"", ""Pagos - Cuenta HEAL!K6"")"),1961.74)</f>
        <v>1961.74</v>
      </c>
      <c r="F9" s="13">
        <f>IFERROR(__xludf.DUMMYFUNCTION("IMPORTRANGE(""1EpSlUpW9BOdu87SArTw5vKjoBhvDGBHNX96Ua10yhsA"", ""Pagos - Cuenta HEAL!K7"")"),2500.54)</f>
        <v>2500.54</v>
      </c>
      <c r="G9" s="13">
        <f>IFERROR(__xludf.DUMMYFUNCTION("IMPORTRANGE(""1EpSlUpW9BOdu87SArTw5vKjoBhvDGBHNX96Ua10yhsA"", ""Pagos - Cuenta HEAL!K8"")"),3027.66)</f>
        <v>3027.66</v>
      </c>
      <c r="H9" s="12">
        <f>IFERROR(__xludf.DUMMYFUNCTION("IMPORTRANGE(""1EpSlUpW9BOdu87SArTw5vKjoBhvDGBHNX96Ua10yhsA"", ""Pagos - Cuenta HEAL!K9"")"),3539.61)</f>
        <v>3539.61</v>
      </c>
      <c r="I9" s="15">
        <f>IFERROR(__xludf.DUMMYFUNCTION("IMPORTRANGE(""1EpSlUpW9BOdu87SArTw5vKjoBhvDGBHNX96Ua10yhsA"", ""Pagos - Cuenta HEAL!K10"")"),4095.37)</f>
        <v>4095.37</v>
      </c>
      <c r="J9" s="13">
        <f>IFERROR(__xludf.DUMMYFUNCTION("IMPORTRANGE(""1EpSlUpW9BOdu87SArTw5vKjoBhvDGBHNX96Ua10yhsA"", ""Pagos - Cuenta HEAL!K11"")"),4613.48)</f>
        <v>4613.48</v>
      </c>
      <c r="K9" s="13">
        <f>IFERROR(__xludf.DUMMYFUNCTION("IMPORTRANGE(""1EpSlUpW9BOdu87SArTw5vKjoBhvDGBHNX96Ua10yhsA"", ""Pagos - Cuenta HEAL!K12"")"),5109.5)</f>
        <v>5109.5</v>
      </c>
      <c r="L9" s="13">
        <f>IFERROR(__xludf.DUMMYFUNCTION("IMPORTRANGE(""1EpSlUpW9BOdu87SArTw5vKjoBhvDGBHNX96Ua10yhsA"", ""Pagos - Cuenta HEAL!K13"")"),5649.06)</f>
        <v>5649.06</v>
      </c>
      <c r="M9" s="14">
        <v>6400.0</v>
      </c>
    </row>
    <row r="10" ht="22.5" customHeight="1">
      <c r="A10" s="9" t="s">
        <v>22</v>
      </c>
      <c r="B10" s="13">
        <f>IFERROR(__xludf.DUMMYFUNCTION("IMPORTRANGE(""1XnUpdg5jZvbW8bRgIUJH8a9CiCpmIZgmVPwpwikE9BU"", ""Seguimiento!B3"")"),151.0)</f>
        <v>151</v>
      </c>
      <c r="C10" s="13">
        <f>IFERROR(__xludf.DUMMYFUNCTION("IMPORTRANGE(""1XnUpdg5jZvbW8bRgIUJH8a9CiCpmIZgmVPwpwikE9BU"", ""Seguimiento!B4"")"),173.98)</f>
        <v>173.98</v>
      </c>
      <c r="D10" s="13">
        <f>IFERROR(__xludf.DUMMYFUNCTION("IMPORTRANGE(""1XnUpdg5jZvbW8bRgIUJH8a9CiCpmIZgmVPwpwikE9BU"", ""Seguimiento!B5"")"),402.8)</f>
        <v>402.8</v>
      </c>
      <c r="E10" s="13">
        <f>IFERROR(__xludf.DUMMYFUNCTION("IMPORTRANGE(""1XnUpdg5jZvbW8bRgIUJH8a9CiCpmIZgmVPwpwikE9BU"", ""Seguimiento!B6"")"),4411.77)</f>
        <v>4411.77</v>
      </c>
      <c r="F10" s="13">
        <f>IFERROR(__xludf.DUMMYFUNCTION("IMPORTRANGE(""1XnUpdg5jZvbW8bRgIUJH8a9CiCpmIZgmVPwpwikE9BU"", ""Seguimiento!B7"")"),5071.2)</f>
        <v>5071.2</v>
      </c>
      <c r="G10" s="13">
        <f>IFERROR(__xludf.DUMMYFUNCTION("IMPORTRANGE(""1XnUpdg5jZvbW8bRgIUJH8a9CiCpmIZgmVPwpwikE9BU"", ""Seguimiento!B8"")"),5193.56)</f>
        <v>5193.56</v>
      </c>
      <c r="H10" s="12">
        <f>IFERROR(__xludf.DUMMYFUNCTION("IMPORTRANGE(""1XnUpdg5jZvbW8bRgIUJH8a9CiCpmIZgmVPwpwikE9BU"", ""Seguimiento!B9"")"),5235.34)</f>
        <v>5235.34</v>
      </c>
      <c r="I10" s="15">
        <f>IFERROR(__xludf.DUMMYFUNCTION("IMPORTRANGE(""1XnUpdg5jZvbW8bRgIUJH8a9CiCpmIZgmVPwpwikE9BU"", ""Seguimiento!B10"")"),5258.92)</f>
        <v>5258.92</v>
      </c>
      <c r="J10" s="13">
        <f>IFERROR(__xludf.DUMMYFUNCTION("IMPORTRANGE(""1XnUpdg5jZvbW8bRgIUJH8a9CiCpmIZgmVPwpwikE9BU"", ""Seguimiento!B11"")"),5277.59)</f>
        <v>5277.59</v>
      </c>
      <c r="K10" s="13">
        <f>IFERROR(__xludf.DUMMYFUNCTION("IMPORTRANGE(""1XnUpdg5jZvbW8bRgIUJH8a9CiCpmIZgmVPwpwikE9BU"", ""Seguimiento!B12"")"),5366.71)</f>
        <v>5366.71</v>
      </c>
      <c r="L10" s="13">
        <f>IFERROR(__xludf.DUMMYFUNCTION("IMPORTRANGE(""1XnUpdg5jZvbW8bRgIUJH8a9CiCpmIZgmVPwpwikE9BU"", ""Seguimiento!B13"")"),5410.49)</f>
        <v>5410.49</v>
      </c>
      <c r="M10" s="14">
        <v>5800.0</v>
      </c>
    </row>
    <row r="11" ht="22.5" customHeight="1">
      <c r="A11" s="21" t="s">
        <v>23</v>
      </c>
      <c r="B11" s="25">
        <v>1809.53</v>
      </c>
      <c r="C11" s="14">
        <v>870.5</v>
      </c>
      <c r="D11" s="14">
        <v>1080.22</v>
      </c>
      <c r="E11" s="14">
        <v>3051.34</v>
      </c>
      <c r="F11" s="14">
        <v>1110.96</v>
      </c>
      <c r="G11" s="14">
        <v>1000.52</v>
      </c>
      <c r="H11" s="24">
        <v>905.28</v>
      </c>
      <c r="I11" s="14">
        <v>774.13</v>
      </c>
      <c r="J11" s="14">
        <v>790.5</v>
      </c>
      <c r="K11" s="14">
        <v>612.5</v>
      </c>
      <c r="L11" s="14">
        <v>500.0</v>
      </c>
      <c r="M11" s="14">
        <v>1000.0</v>
      </c>
    </row>
    <row r="12" ht="22.5" customHeight="1">
      <c r="A12" s="21" t="s">
        <v>24</v>
      </c>
      <c r="B12" s="25">
        <v>5.0</v>
      </c>
      <c r="C12" s="25">
        <v>5.0</v>
      </c>
      <c r="D12" s="25">
        <v>5.0</v>
      </c>
      <c r="E12" s="25">
        <v>5.0</v>
      </c>
      <c r="F12" s="25">
        <v>5.0</v>
      </c>
      <c r="G12" s="25">
        <v>5.0</v>
      </c>
      <c r="H12" s="33">
        <v>5.0</v>
      </c>
      <c r="I12" s="25">
        <v>5.0</v>
      </c>
      <c r="J12" s="25">
        <v>5.0</v>
      </c>
      <c r="K12" s="25">
        <v>5.0</v>
      </c>
      <c r="L12" s="25">
        <v>5.0</v>
      </c>
      <c r="M12" s="14">
        <v>5.0</v>
      </c>
    </row>
    <row r="13" ht="22.5" customHeight="1">
      <c r="A13" s="23" t="s">
        <v>26</v>
      </c>
      <c r="B13" s="29">
        <f t="shared" ref="B13:F13" si="1">SUM(B3:B12)</f>
        <v>45393.09</v>
      </c>
      <c r="C13" s="29">
        <f t="shared" si="1"/>
        <v>45035.12</v>
      </c>
      <c r="D13" s="29">
        <f t="shared" si="1"/>
        <v>46129.49</v>
      </c>
      <c r="E13" s="29">
        <f t="shared" si="1"/>
        <v>49939.7</v>
      </c>
      <c r="F13" s="29">
        <f t="shared" si="1"/>
        <v>51142.78</v>
      </c>
      <c r="G13" s="29">
        <f t="shared" ref="G13:J13" si="2">SUM(G3:G11)</f>
        <v>53048.09</v>
      </c>
      <c r="H13" s="29">
        <f t="shared" si="2"/>
        <v>54997.04</v>
      </c>
      <c r="I13" s="29">
        <f t="shared" si="2"/>
        <v>56844.34</v>
      </c>
      <c r="J13" s="29">
        <f t="shared" si="2"/>
        <v>58716.68</v>
      </c>
      <c r="K13" s="29">
        <f t="shared" ref="K13:M13" si="3">SUM(K3:K12)</f>
        <v>60294.38</v>
      </c>
      <c r="L13" s="29">
        <f t="shared" si="3"/>
        <v>62122.54</v>
      </c>
      <c r="M13" s="30">
        <f t="shared" si="3"/>
        <v>63650.05</v>
      </c>
    </row>
    <row r="18">
      <c r="G18" s="31" t="s">
        <v>29</v>
      </c>
    </row>
    <row r="19">
      <c r="G19" s="31" t="s">
        <v>30</v>
      </c>
    </row>
    <row r="20">
      <c r="G20" s="31" t="s">
        <v>31</v>
      </c>
    </row>
  </sheetData>
  <dataValidations>
    <dataValidation type="custom" allowBlank="1" showDropDown="1" sqref="B2:B1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